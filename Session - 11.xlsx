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8a33403e70c3ed1/Desktop/Data Analyst course/Session File/"/>
    </mc:Choice>
  </mc:AlternateContent>
  <xr:revisionPtr revIDLastSave="2" documentId="8_{12637F6C-B6FA-4D89-B3E3-4D3D83C36F5F}" xr6:coauthVersionLast="47" xr6:coauthVersionMax="47" xr10:uidLastSave="{87454E31-8569-4C24-B830-5207C5B06298}"/>
  <bookViews>
    <workbookView xWindow="-114" yWindow="-114" windowWidth="27602" windowHeight="14927" xr2:uid="{32AE1A6D-EEE1-41EA-A155-6EC0D234CBC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3" i="1" l="1"/>
  <c r="Q42" i="1"/>
  <c r="P42" i="1"/>
  <c r="O42" i="1"/>
  <c r="M30" i="1" a="1"/>
  <c r="M30" i="1" s="1"/>
  <c r="M19" i="1" a="1"/>
  <c r="M19" i="1" s="1"/>
  <c r="M7" i="1" a="1"/>
  <c r="M7" i="1" s="1"/>
  <c r="F5" i="1"/>
  <c r="G5" i="1" s="1"/>
  <c r="H5" i="1" s="1"/>
  <c r="I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<sst xmlns="http://schemas.openxmlformats.org/spreadsheetml/2006/main" count="70" uniqueCount="59">
  <si>
    <t>Task-1</t>
  </si>
  <si>
    <t>Given a table of IPL cricket match scores by Team (rows) and Match Date (columns), use the INDEX and MATCH functions to return the score for 'Gujarat Titans' on '2024-04-15'.</t>
  </si>
  <si>
    <t>Date</t>
  </si>
  <si>
    <t>Row</t>
  </si>
  <si>
    <t>Column</t>
  </si>
  <si>
    <t>Answer</t>
  </si>
  <si>
    <t>GT</t>
  </si>
  <si>
    <t>CSK</t>
  </si>
  <si>
    <t>=INDEX(C5:I11,MATCH(K6,C5:C11,FALSE()),MATCH(L6,C5:I5,FALSE()))</t>
  </si>
  <si>
    <t>RCB</t>
  </si>
  <si>
    <t>MI</t>
  </si>
  <si>
    <t>SRH</t>
  </si>
  <si>
    <t>DC</t>
  </si>
  <si>
    <t>Task-2</t>
  </si>
  <si>
    <t>Create a Flipkart-style product price sheet with Product Names as rows and Cities as columns. Write a formula using MATCH-MATCH inside INDEX to find the price of 'iPhone 15' in 'Ahmedabad'.</t>
  </si>
  <si>
    <t>City</t>
  </si>
  <si>
    <t>Vadodara</t>
  </si>
  <si>
    <t>Ahmedabad</t>
  </si>
  <si>
    <t>Rajkot</t>
  </si>
  <si>
    <t>Surat</t>
  </si>
  <si>
    <t>Jamnagar</t>
  </si>
  <si>
    <t>Samsung</t>
  </si>
  <si>
    <t>Iphone</t>
  </si>
  <si>
    <t>=INDEX(C18:H23,MATCH(K19,C18:H18,FALSE()),MATCH(L19,C19:C23,FALSE()))</t>
  </si>
  <si>
    <t>Ipad</t>
  </si>
  <si>
    <t>Vivo</t>
  </si>
  <si>
    <t>Sony</t>
  </si>
  <si>
    <t>Task-3</t>
  </si>
  <si>
    <t>You have a Spotify playlist data table with Song Names in rows and Months in columns. Write a two-way lookup formula using INDEX and MATCH to find how many times 'Kesariya' was played in 'March'. 
Hint: Use MATCH to get both the row and column numbers for INDEX.</t>
  </si>
  <si>
    <t>Song Name</t>
  </si>
  <si>
    <t>January</t>
  </si>
  <si>
    <t>February</t>
  </si>
  <si>
    <t>March</t>
  </si>
  <si>
    <t>April</t>
  </si>
  <si>
    <t>Kesariya</t>
  </si>
  <si>
    <t>kesariya</t>
  </si>
  <si>
    <t>march</t>
  </si>
  <si>
    <t>Apna Bana Le</t>
  </si>
  <si>
    <t>Heeriye</t>
  </si>
  <si>
    <t>Chaleya</t>
  </si>
  <si>
    <t>Task-4</t>
  </si>
  <si>
    <t>A Zomato sales table lists Restaurant Names as rows and Weekdays as columns. The VLOOKUP formula fails to fetch the correct sales for 'Burger Hub' on 'Friday' because the column order changes. Rewrite the lookup using INDEX and MATCH to avoid this limitation.</t>
  </si>
  <si>
    <t xml:space="preserve">Zomato sales table </t>
  </si>
  <si>
    <t>Restaurant Name</t>
  </si>
  <si>
    <t>Mon</t>
  </si>
  <si>
    <t>Tues</t>
  </si>
  <si>
    <t>Wed</t>
  </si>
  <si>
    <t>Thrus</t>
  </si>
  <si>
    <t>Fri</t>
  </si>
  <si>
    <t>Sat</t>
  </si>
  <si>
    <t>Match</t>
  </si>
  <si>
    <t>Index</t>
  </si>
  <si>
    <t>Vlookup</t>
  </si>
  <si>
    <t>Pizza Hut</t>
  </si>
  <si>
    <t>Burger HUB</t>
  </si>
  <si>
    <t>Dominos</t>
  </si>
  <si>
    <t>KFC</t>
  </si>
  <si>
    <t>Dragon Momos</t>
  </si>
  <si>
    <t>Burger 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</si>
</sst>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dd/mm/yyyy;@"/>
  </numFmts>
  <fonts count="5">
    <font>
      <sz val="11"/>
      <color theme="1"/>
      <name val="Calibri"/>
      <family val="2"/>
      <scheme val="minor"/>
    </font>
    <font>
      <sz val="11"/>
      <color theme="1"/>
      <name val="Calibri"/>
      <family val="2"/>
      <scheme val="minor"/>
    </font>
    <font>
      <b/>
      <sz val="11"/>
      <color theme="1"/>
      <name val="Calibri"/>
      <charset val="134"/>
      <scheme val="minor"/>
    </font>
    <font>
      <b/>
      <sz val="8.5500000000000007"/>
      <color theme="1"/>
      <name val="Segoe UI"/>
      <charset val="134"/>
    </font>
    <font>
      <sz val="11"/>
      <color theme="0"/>
      <name val="Calibri"/>
      <charset val="134"/>
      <scheme val="minor"/>
    </font>
  </fonts>
  <fills count="4">
    <fill>
      <patternFill patternType="none"/>
    </fill>
    <fill>
      <patternFill patternType="gray125"/>
    </fill>
    <fill>
      <patternFill patternType="solid">
        <fgColor theme="8" tint="-0.249977111117893"/>
        <bgColor indexed="64"/>
      </patternFill>
    </fill>
    <fill>
      <patternFill patternType="solid">
        <fgColor theme="4" tint="0.3999145481734672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2" fillId="2" borderId="0" xfId="0" applyFont="1" applyFill="1" applyAlignment="1">
      <alignment vertical="center"/>
    </xf>
    <xf numFmtId="0" fontId="3" fillId="0" borderId="0" xfId="0" applyFont="1" applyAlignment="1">
      <alignment horizontal="left" vertical="center"/>
    </xf>
    <xf numFmtId="0" fontId="0" fillId="0" borderId="0" xfId="0" applyAlignment="1">
      <alignment vertical="center"/>
    </xf>
    <xf numFmtId="0" fontId="0" fillId="3" borderId="0" xfId="0" applyFill="1" applyAlignment="1">
      <alignment horizontal="center" vertical="center"/>
    </xf>
    <xf numFmtId="14" fontId="0" fillId="3" borderId="0" xfId="0" applyNumberFormat="1" applyFill="1" applyAlignment="1">
      <alignment horizontal="center" vertical="center"/>
    </xf>
    <xf numFmtId="164" fontId="0" fillId="3" borderId="0" xfId="0" applyNumberFormat="1" applyFill="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quotePrefix="1" applyAlignment="1">
      <alignment vertical="center"/>
    </xf>
    <xf numFmtId="0" fontId="0" fillId="3" borderId="0" xfId="0" applyFill="1" applyAlignment="1">
      <alignment vertical="center"/>
    </xf>
    <xf numFmtId="0" fontId="3" fillId="0" borderId="0" xfId="0" applyFont="1" applyAlignment="1">
      <alignment horizontal="left" vertical="center" wrapText="1"/>
    </xf>
    <xf numFmtId="0" fontId="2" fillId="3"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4" fillId="2" borderId="0" xfId="0" applyFont="1" applyFill="1" applyAlignment="1">
      <alignment vertical="center"/>
    </xf>
    <xf numFmtId="44" fontId="0" fillId="0" borderId="0" xfId="1" applyFont="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D18F2-E1B9-4486-BAE1-3251139DB56F}">
  <dimension ref="A3:U47"/>
  <sheetViews>
    <sheetView tabSelected="1" topLeftCell="A27" workbookViewId="0">
      <selection activeCell="K25" sqref="K25"/>
    </sheetView>
  </sheetViews>
  <sheetFormatPr defaultColWidth="9.140625" defaultRowHeight="14.3"/>
  <cols>
    <col min="1" max="2" width="9.140625" style="3"/>
    <col min="3" max="3" width="18" style="3" customWidth="1"/>
    <col min="4" max="4" width="18.28515625" style="3" customWidth="1"/>
    <col min="5" max="5" width="11.42578125" style="3" customWidth="1"/>
    <col min="6" max="6" width="10.42578125" style="3" bestFit="1" customWidth="1"/>
    <col min="7" max="8" width="10.5703125" style="3" bestFit="1" customWidth="1"/>
    <col min="9" max="9" width="10.42578125" style="3" bestFit="1" customWidth="1"/>
    <col min="10" max="11" width="9.140625" style="3"/>
    <col min="12" max="12" width="11.140625" style="3" customWidth="1"/>
    <col min="13" max="16384" width="9.140625" style="3"/>
  </cols>
  <sheetData>
    <row r="3" spans="1:21">
      <c r="A3" s="1" t="s">
        <v>0</v>
      </c>
      <c r="B3" s="2" t="s">
        <v>1</v>
      </c>
      <c r="C3" s="2"/>
      <c r="D3" s="2"/>
      <c r="E3" s="2"/>
      <c r="F3" s="2"/>
      <c r="G3" s="2"/>
      <c r="H3" s="2"/>
      <c r="I3" s="2"/>
      <c r="J3" s="2"/>
      <c r="K3" s="2"/>
      <c r="L3" s="2"/>
      <c r="M3" s="2"/>
      <c r="N3" s="2"/>
      <c r="O3" s="2"/>
      <c r="P3" s="2"/>
      <c r="Q3" s="2"/>
      <c r="R3" s="2"/>
      <c r="S3" s="2"/>
      <c r="T3" s="2"/>
      <c r="U3" s="2"/>
    </row>
    <row r="5" spans="1:21">
      <c r="C5" s="4" t="s">
        <v>2</v>
      </c>
      <c r="D5" s="5">
        <v>45394</v>
      </c>
      <c r="E5" s="5">
        <v>45397</v>
      </c>
      <c r="F5" s="6">
        <f>E5+4</f>
        <v>45401</v>
      </c>
      <c r="G5" s="6">
        <f>F5+4</f>
        <v>45405</v>
      </c>
      <c r="H5" s="6">
        <f>G5+4</f>
        <v>45409</v>
      </c>
      <c r="I5" s="6">
        <f>H5+4</f>
        <v>45413</v>
      </c>
      <c r="K5" s="4" t="s">
        <v>3</v>
      </c>
      <c r="L5" s="4" t="s">
        <v>4</v>
      </c>
      <c r="M5" s="4" t="s">
        <v>5</v>
      </c>
    </row>
    <row r="6" spans="1:21">
      <c r="C6" s="7" t="s">
        <v>6</v>
      </c>
      <c r="D6" s="7">
        <v>150</v>
      </c>
      <c r="E6" s="7">
        <v>199</v>
      </c>
      <c r="F6" s="7">
        <v>125</v>
      </c>
      <c r="G6" s="7">
        <v>230</v>
      </c>
      <c r="H6" s="7">
        <v>175</v>
      </c>
      <c r="I6" s="7">
        <v>190</v>
      </c>
      <c r="K6" s="3" t="s">
        <v>6</v>
      </c>
      <c r="L6" s="8">
        <v>45397</v>
      </c>
    </row>
    <row r="7" spans="1:21">
      <c r="C7" s="7" t="s">
        <v>7</v>
      </c>
      <c r="D7" s="7">
        <v>130</v>
      </c>
      <c r="E7" s="7">
        <v>175</v>
      </c>
      <c r="F7" s="7">
        <v>134</v>
      </c>
      <c r="G7" s="7">
        <v>190</v>
      </c>
      <c r="H7" s="7">
        <v>134</v>
      </c>
      <c r="I7" s="7">
        <v>175</v>
      </c>
      <c r="K7" s="7"/>
      <c r="L7" s="7"/>
      <c r="M7" s="3" cm="1">
        <f t="array" ref="M7">INDEX(C5:I11,MATCH(K6,C5:C11,FALSE()),MATCH(L6,C5:I5,FALSE()))</f>
        <v>199</v>
      </c>
      <c r="N7" s="9" t="s">
        <v>8</v>
      </c>
    </row>
    <row r="8" spans="1:21">
      <c r="C8" s="7" t="s">
        <v>9</v>
      </c>
      <c r="D8" s="7">
        <v>135</v>
      </c>
      <c r="E8" s="7">
        <v>120</v>
      </c>
      <c r="F8" s="7">
        <v>160</v>
      </c>
      <c r="G8" s="7">
        <v>186</v>
      </c>
      <c r="H8" s="7">
        <v>160</v>
      </c>
      <c r="I8" s="7">
        <v>120</v>
      </c>
    </row>
    <row r="9" spans="1:21">
      <c r="C9" s="7" t="s">
        <v>10</v>
      </c>
      <c r="D9" s="7">
        <v>175</v>
      </c>
      <c r="E9" s="7">
        <v>135</v>
      </c>
      <c r="F9" s="7">
        <v>180</v>
      </c>
      <c r="G9" s="7">
        <v>175</v>
      </c>
      <c r="H9" s="7">
        <v>180</v>
      </c>
      <c r="I9" s="7">
        <v>135</v>
      </c>
    </row>
    <row r="10" spans="1:21">
      <c r="C10" s="7" t="s">
        <v>11</v>
      </c>
      <c r="D10" s="7">
        <v>199</v>
      </c>
      <c r="E10" s="7">
        <v>178</v>
      </c>
      <c r="F10" s="7">
        <v>145</v>
      </c>
      <c r="G10" s="7">
        <v>195</v>
      </c>
      <c r="H10" s="7">
        <v>145</v>
      </c>
      <c r="I10" s="7">
        <v>178</v>
      </c>
    </row>
    <row r="11" spans="1:21">
      <c r="C11" s="7" t="s">
        <v>12</v>
      </c>
      <c r="D11" s="7">
        <v>240</v>
      </c>
      <c r="E11" s="7">
        <v>130</v>
      </c>
      <c r="F11" s="7">
        <v>190</v>
      </c>
      <c r="G11" s="7">
        <v>200</v>
      </c>
      <c r="H11" s="7">
        <v>190</v>
      </c>
      <c r="I11" s="7">
        <v>130</v>
      </c>
    </row>
    <row r="15" spans="1:21">
      <c r="A15" s="1" t="s">
        <v>13</v>
      </c>
      <c r="B15" s="2" t="s">
        <v>14</v>
      </c>
      <c r="C15" s="2"/>
      <c r="D15" s="2"/>
      <c r="E15" s="2"/>
      <c r="F15" s="2"/>
      <c r="G15" s="2"/>
      <c r="H15" s="2"/>
      <c r="I15" s="2"/>
      <c r="J15" s="2"/>
      <c r="K15" s="2"/>
      <c r="L15" s="2"/>
      <c r="M15" s="2"/>
      <c r="N15" s="2"/>
      <c r="O15" s="2"/>
      <c r="P15" s="2"/>
      <c r="Q15" s="2"/>
      <c r="R15" s="2"/>
      <c r="S15" s="2"/>
      <c r="T15" s="2"/>
      <c r="U15" s="2"/>
    </row>
    <row r="18" spans="1:21">
      <c r="C18" s="10" t="s">
        <v>15</v>
      </c>
      <c r="D18" s="10" t="s">
        <v>16</v>
      </c>
      <c r="E18" s="10" t="s">
        <v>17</v>
      </c>
      <c r="F18" s="10" t="s">
        <v>18</v>
      </c>
      <c r="G18" s="10" t="s">
        <v>19</v>
      </c>
      <c r="H18" s="10" t="s">
        <v>20</v>
      </c>
      <c r="K18" s="4" t="s">
        <v>3</v>
      </c>
      <c r="L18" s="4" t="s">
        <v>4</v>
      </c>
      <c r="M18" s="4" t="s">
        <v>5</v>
      </c>
    </row>
    <row r="19" spans="1:21">
      <c r="C19" s="3" t="s">
        <v>21</v>
      </c>
      <c r="D19" s="3">
        <v>75000</v>
      </c>
      <c r="E19" s="3">
        <v>99490</v>
      </c>
      <c r="F19" s="3">
        <v>45499</v>
      </c>
      <c r="G19" s="3">
        <v>38499</v>
      </c>
      <c r="H19" s="3">
        <v>65099</v>
      </c>
      <c r="K19" s="3" t="s">
        <v>22</v>
      </c>
      <c r="L19" s="3" t="s">
        <v>17</v>
      </c>
      <c r="M19" s="3" cm="1">
        <f t="array" ref="M19">INDEX(C18:H23,MATCH(K19,C18:C23,FALSE()),MATCH(L19,C18:H18,FALSE()))</f>
        <v>98400</v>
      </c>
      <c r="N19" s="9" t="s">
        <v>23</v>
      </c>
    </row>
    <row r="20" spans="1:21">
      <c r="C20" s="3" t="s">
        <v>22</v>
      </c>
      <c r="D20" s="3">
        <v>74000</v>
      </c>
      <c r="E20" s="3">
        <v>98400</v>
      </c>
      <c r="F20" s="3">
        <v>44599</v>
      </c>
      <c r="G20" s="3">
        <v>38000</v>
      </c>
      <c r="H20" s="3">
        <v>66499</v>
      </c>
    </row>
    <row r="21" spans="1:21">
      <c r="C21" s="3" t="s">
        <v>24</v>
      </c>
      <c r="D21" s="3">
        <v>75499</v>
      </c>
      <c r="E21" s="3">
        <v>99000</v>
      </c>
      <c r="F21" s="3">
        <v>43999</v>
      </c>
      <c r="G21" s="3">
        <v>36499</v>
      </c>
      <c r="H21" s="3">
        <v>68999</v>
      </c>
    </row>
    <row r="22" spans="1:21">
      <c r="C22" s="3" t="s">
        <v>25</v>
      </c>
      <c r="D22" s="3">
        <v>84000</v>
      </c>
      <c r="E22" s="3">
        <v>96400</v>
      </c>
      <c r="F22" s="3">
        <v>45000</v>
      </c>
      <c r="G22" s="3">
        <v>35000</v>
      </c>
      <c r="H22" s="3">
        <v>62000</v>
      </c>
    </row>
    <row r="23" spans="1:21">
      <c r="C23" s="3" t="s">
        <v>26</v>
      </c>
      <c r="D23" s="3">
        <v>86000</v>
      </c>
      <c r="E23" s="3">
        <v>98499</v>
      </c>
      <c r="F23" s="3">
        <v>43499</v>
      </c>
      <c r="G23" s="3">
        <v>37000</v>
      </c>
      <c r="H23" s="3">
        <v>62499</v>
      </c>
    </row>
    <row r="27" spans="1:21" ht="27.1" customHeight="1">
      <c r="A27" s="1" t="s">
        <v>27</v>
      </c>
      <c r="B27" s="11" t="s">
        <v>28</v>
      </c>
      <c r="C27" s="2"/>
      <c r="D27" s="2"/>
      <c r="E27" s="2"/>
      <c r="F27" s="2"/>
      <c r="G27" s="2"/>
      <c r="H27" s="2"/>
      <c r="I27" s="2"/>
      <c r="J27" s="2"/>
      <c r="K27" s="2"/>
      <c r="L27" s="2"/>
      <c r="M27" s="2"/>
      <c r="N27" s="2"/>
      <c r="O27" s="2"/>
      <c r="P27" s="2"/>
      <c r="Q27" s="2"/>
      <c r="R27" s="2"/>
      <c r="S27" s="2"/>
      <c r="T27" s="2"/>
      <c r="U27" s="2"/>
    </row>
    <row r="29" spans="1:21">
      <c r="C29" s="12" t="s">
        <v>29</v>
      </c>
      <c r="D29" s="12" t="s">
        <v>30</v>
      </c>
      <c r="E29" s="12" t="s">
        <v>31</v>
      </c>
      <c r="F29" s="12" t="s">
        <v>32</v>
      </c>
      <c r="G29" s="12" t="s">
        <v>33</v>
      </c>
      <c r="K29" s="4" t="s">
        <v>3</v>
      </c>
      <c r="L29" s="4" t="s">
        <v>4</v>
      </c>
      <c r="M29" s="4" t="s">
        <v>5</v>
      </c>
    </row>
    <row r="30" spans="1:21">
      <c r="C30" s="13" t="s">
        <v>34</v>
      </c>
      <c r="D30" s="14">
        <v>120</v>
      </c>
      <c r="E30" s="14">
        <v>150</v>
      </c>
      <c r="F30" s="14">
        <v>200</v>
      </c>
      <c r="G30" s="14">
        <v>180</v>
      </c>
      <c r="K30" s="3" t="s">
        <v>35</v>
      </c>
      <c r="L30" s="3" t="s">
        <v>36</v>
      </c>
      <c r="M30" s="3" cm="1">
        <f t="array" ref="M30">INDEX(C29:G33,MATCH(K30,C29:C33,0),MATCH(L30,C29:G29,0))</f>
        <v>200</v>
      </c>
    </row>
    <row r="31" spans="1:21">
      <c r="C31" s="13" t="s">
        <v>37</v>
      </c>
      <c r="D31" s="14">
        <v>100</v>
      </c>
      <c r="E31" s="14">
        <v>130</v>
      </c>
      <c r="F31" s="14">
        <v>175</v>
      </c>
      <c r="G31" s="14">
        <v>160</v>
      </c>
    </row>
    <row r="32" spans="1:21">
      <c r="C32" s="13" t="s">
        <v>38</v>
      </c>
      <c r="D32" s="14">
        <v>90</v>
      </c>
      <c r="E32" s="14">
        <v>110</v>
      </c>
      <c r="F32" s="14">
        <v>140</v>
      </c>
      <c r="G32" s="14">
        <v>125</v>
      </c>
    </row>
    <row r="33" spans="1:21">
      <c r="C33" s="13" t="s">
        <v>39</v>
      </c>
      <c r="D33" s="14">
        <v>80</v>
      </c>
      <c r="E33" s="14">
        <v>105</v>
      </c>
      <c r="F33" s="14">
        <v>155</v>
      </c>
      <c r="G33" s="14">
        <v>135</v>
      </c>
    </row>
    <row r="38" spans="1:21" ht="26.05" customHeight="1">
      <c r="A38" s="1" t="s">
        <v>40</v>
      </c>
      <c r="B38" s="11" t="s">
        <v>41</v>
      </c>
      <c r="C38" s="11"/>
      <c r="D38" s="11"/>
      <c r="E38" s="11"/>
      <c r="F38" s="11"/>
      <c r="G38" s="11"/>
      <c r="H38" s="11"/>
      <c r="I38" s="11"/>
      <c r="J38" s="11"/>
      <c r="K38" s="11"/>
      <c r="L38" s="11"/>
      <c r="M38" s="11"/>
      <c r="N38" s="11"/>
      <c r="O38" s="11"/>
      <c r="P38" s="11"/>
      <c r="Q38" s="11"/>
      <c r="R38" s="11"/>
      <c r="S38" s="11"/>
      <c r="T38" s="11"/>
      <c r="U38" s="11"/>
    </row>
    <row r="40" spans="1:21">
      <c r="D40" s="15" t="s">
        <v>42</v>
      </c>
    </row>
    <row r="41" spans="1:21">
      <c r="C41" s="12" t="s">
        <v>43</v>
      </c>
      <c r="D41" s="12" t="s">
        <v>44</v>
      </c>
      <c r="E41" s="12" t="s">
        <v>45</v>
      </c>
      <c r="F41" s="12" t="s">
        <v>46</v>
      </c>
      <c r="G41" s="12" t="s">
        <v>47</v>
      </c>
      <c r="H41" s="12" t="s">
        <v>48</v>
      </c>
      <c r="I41" s="12" t="s">
        <v>49</v>
      </c>
      <c r="O41" s="12" t="s">
        <v>50</v>
      </c>
      <c r="P41" s="12" t="s">
        <v>51</v>
      </c>
      <c r="Q41" s="12" t="s">
        <v>52</v>
      </c>
    </row>
    <row r="42" spans="1:21">
      <c r="C42" s="16" t="s">
        <v>53</v>
      </c>
      <c r="D42" s="16">
        <v>500</v>
      </c>
      <c r="E42" s="16">
        <v>250</v>
      </c>
      <c r="F42" s="16">
        <v>199</v>
      </c>
      <c r="G42" s="16">
        <v>450</v>
      </c>
      <c r="H42" s="16">
        <v>500</v>
      </c>
      <c r="I42" s="16">
        <v>500</v>
      </c>
      <c r="L42" s="7" t="s">
        <v>54</v>
      </c>
      <c r="O42" s="3">
        <f>MATCH(L42,C42:C47,0)</f>
        <v>2</v>
      </c>
      <c r="P42" s="3">
        <f>INDEX(C41:I47,MATCH(L42,C41:C47,0),MATCH(L43,C41:I41,0))</f>
        <v>999</v>
      </c>
      <c r="Q42" s="3">
        <f>VLOOKUP(L42,C41:I47,MATCH(L43,C41:I41,0),0)</f>
        <v>999</v>
      </c>
    </row>
    <row r="43" spans="1:21">
      <c r="C43" s="16" t="s">
        <v>54</v>
      </c>
      <c r="D43" s="16">
        <v>250</v>
      </c>
      <c r="E43" s="16">
        <v>499</v>
      </c>
      <c r="F43" s="16">
        <v>699</v>
      </c>
      <c r="G43" s="16">
        <v>1200</v>
      </c>
      <c r="H43" s="16">
        <v>999</v>
      </c>
      <c r="I43" s="16">
        <v>500</v>
      </c>
      <c r="L43" s="7" t="s">
        <v>48</v>
      </c>
      <c r="O43" s="3">
        <f>MATCH(L43,C41:I41,0)</f>
        <v>6</v>
      </c>
    </row>
    <row r="44" spans="1:21">
      <c r="C44" s="16" t="s">
        <v>55</v>
      </c>
      <c r="D44" s="16">
        <v>199</v>
      </c>
      <c r="E44" s="16">
        <v>450</v>
      </c>
      <c r="F44" s="16">
        <v>299</v>
      </c>
      <c r="G44" s="16">
        <v>190</v>
      </c>
      <c r="H44" s="16">
        <v>159</v>
      </c>
      <c r="I44" s="16">
        <v>299</v>
      </c>
    </row>
    <row r="45" spans="1:21">
      <c r="C45" s="16" t="s">
        <v>56</v>
      </c>
      <c r="D45" s="16">
        <v>649</v>
      </c>
      <c r="E45" s="16">
        <v>999</v>
      </c>
      <c r="F45" s="16">
        <v>459</v>
      </c>
      <c r="G45" s="16">
        <v>1200</v>
      </c>
      <c r="H45" s="16">
        <v>1999</v>
      </c>
      <c r="I45" s="16">
        <v>449</v>
      </c>
    </row>
    <row r="46" spans="1:21">
      <c r="C46" s="16" t="s">
        <v>57</v>
      </c>
      <c r="D46" s="16">
        <v>120</v>
      </c>
      <c r="E46" s="16">
        <v>149</v>
      </c>
      <c r="F46" s="16">
        <v>200</v>
      </c>
      <c r="G46" s="16">
        <v>249</v>
      </c>
      <c r="H46" s="16">
        <v>260</v>
      </c>
      <c r="I46" s="16">
        <v>249</v>
      </c>
    </row>
    <row r="47" spans="1:21">
      <c r="C47" s="16" t="s">
        <v>58</v>
      </c>
      <c r="D47" s="16">
        <v>250</v>
      </c>
      <c r="E47" s="16">
        <v>499</v>
      </c>
      <c r="F47" s="16">
        <v>699</v>
      </c>
      <c r="G47" s="16">
        <v>1200</v>
      </c>
      <c r="H47" s="16">
        <v>999</v>
      </c>
      <c r="I47" s="16">
        <v>500</v>
      </c>
    </row>
  </sheetData>
  <mergeCells count="4">
    <mergeCell ref="B3:U3"/>
    <mergeCell ref="B15:U15"/>
    <mergeCell ref="B27:U27"/>
    <mergeCell ref="B38:U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dilip pawar</dc:creator>
  <cp:lastModifiedBy>dilip pawar</cp:lastModifiedBy>
  <dcterms:created xsi:type="dcterms:W3CDTF">2026-09-17T06:16:50Z</dcterms:created>
  <dcterms:modified xsi:type="dcterms:W3CDTF">2026-09-17T06:18:32Z</dcterms:modified>
</cp:coreProperties>
</file>