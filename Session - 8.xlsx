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1" documentId="8_{C3A6D3E9-1C6F-48A1-9D1D-F5DDCD04D245}" xr6:coauthVersionLast="47" xr6:coauthVersionMax="47" xr10:uidLastSave="{37D1257F-C316-4A08-9D71-71E97151A771}"/>
  <bookViews>
    <workbookView xWindow="-114" yWindow="-114" windowWidth="27602" windowHeight="14927" xr2:uid="{5135157C-1D6D-4A2B-927B-422DD53CC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" i="1" l="1"/>
  <c r="J59" i="1"/>
  <c r="J58" i="1"/>
  <c r="J57" i="1"/>
  <c r="L56" i="1"/>
  <c r="J56" i="1"/>
  <c r="I47" i="1"/>
  <c r="I46" i="1"/>
  <c r="I45" i="1"/>
  <c r="I44" i="1"/>
  <c r="I43" i="1"/>
  <c r="L36" i="1"/>
  <c r="H36" i="1"/>
  <c r="L35" i="1"/>
  <c r="H35" i="1"/>
  <c r="L34" i="1"/>
  <c r="H34" i="1"/>
  <c r="L33" i="1"/>
  <c r="H33" i="1"/>
  <c r="L32" i="1"/>
  <c r="H32" i="1"/>
  <c r="I24" i="1"/>
  <c r="K24" i="1" s="1"/>
  <c r="I23" i="1"/>
  <c r="K23" i="1" s="1"/>
  <c r="I22" i="1"/>
  <c r="K22" i="1" s="1"/>
  <c r="I21" i="1"/>
  <c r="K21" i="1" s="1"/>
  <c r="K20" i="1"/>
  <c r="I20" i="1"/>
  <c r="K19" i="1"/>
  <c r="I19" i="1"/>
  <c r="I12" i="1"/>
  <c r="H12" i="1"/>
  <c r="K12" i="1" s="1"/>
  <c r="I11" i="1"/>
  <c r="H11" i="1"/>
  <c r="K11" i="1" s="1"/>
  <c r="I10" i="1"/>
  <c r="H10" i="1"/>
  <c r="K10" i="1" s="1"/>
  <c r="I9" i="1"/>
  <c r="H9" i="1"/>
  <c r="K9" i="1" s="1"/>
  <c r="I8" i="1"/>
  <c r="H8" i="1"/>
  <c r="K8" i="1" s="1"/>
</calcChain>
</file>

<file path=xl/sharedStrings.xml><?xml version="1.0" encoding="utf-8"?>
<sst xmlns="http://schemas.openxmlformats.org/spreadsheetml/2006/main" count="111" uniqueCount="73">
  <si>
    <t>Task-1</t>
  </si>
  <si>
    <t>Use the IF function in Excel to create a column that labels each order in a food delivery dataset as 'High Value' if the total amount is Rs.500 or more, otherwise 'Regular'.</t>
  </si>
  <si>
    <t>Order ID</t>
  </si>
  <si>
    <t>Order Date</t>
  </si>
  <si>
    <t>Foods &amp; Beverages</t>
  </si>
  <si>
    <t>QTY</t>
  </si>
  <si>
    <t>Price</t>
  </si>
  <si>
    <t>Total Amount</t>
  </si>
  <si>
    <t>Delivery Date</t>
  </si>
  <si>
    <t>Answer</t>
  </si>
  <si>
    <t>Burger</t>
  </si>
  <si>
    <t>Pizza</t>
  </si>
  <si>
    <t>Sandwitch</t>
  </si>
  <si>
    <t>Coca Cola</t>
  </si>
  <si>
    <t>Cake</t>
  </si>
  <si>
    <t>Task-2</t>
  </si>
  <si>
    <t>Given a list of cricket players and their total runs, use a nested IF formula in Excel to assign a player rating: 'Star' for 1000+ runs, 'Pro' for 700-999, 'Rising' for 400-699, and 'Newbie' for below 400.
Hint: Use multiple IF statements inside each other to handle all categories.</t>
  </si>
  <si>
    <t>Test Match</t>
  </si>
  <si>
    <t>ID</t>
  </si>
  <si>
    <t>Player Name</t>
  </si>
  <si>
    <t>Day 1</t>
  </si>
  <si>
    <t>Day 2</t>
  </si>
  <si>
    <t>Day 3</t>
  </si>
  <si>
    <t>Day 4</t>
  </si>
  <si>
    <t>Total Run</t>
  </si>
  <si>
    <t>Virat Kohli</t>
  </si>
  <si>
    <t>=IF(J19&gt;=1000,"Star",IF(J19&gt;=700,"Pro",IF(J19&gt;=400,"Rising","Newbie")))</t>
  </si>
  <si>
    <t>M S Dhoni</t>
  </si>
  <si>
    <t>Youraj Singh</t>
  </si>
  <si>
    <t>Hardik Pandiya</t>
  </si>
  <si>
    <t>Rohit Sharma</t>
  </si>
  <si>
    <t>Sumit Sharma</t>
  </si>
  <si>
    <t>Task-3</t>
  </si>
  <si>
    <t>In an Excel sheet of Flipkart orders, add a column that shows 'Eligible' if the payment method is 'Prepaid' AND the order status is 'Delivered' using the AND function with IF.</t>
  </si>
  <si>
    <t>Product</t>
  </si>
  <si>
    <t>Payment</t>
  </si>
  <si>
    <t>Status</t>
  </si>
  <si>
    <t>Speaker</t>
  </si>
  <si>
    <t>Prepaid</t>
  </si>
  <si>
    <t>Delivered</t>
  </si>
  <si>
    <t>Keyboard</t>
  </si>
  <si>
    <t>In-Trans</t>
  </si>
  <si>
    <t>Mouse</t>
  </si>
  <si>
    <t>Cash On Delivery</t>
  </si>
  <si>
    <t>True Wireless</t>
  </si>
  <si>
    <t>Ear Phone</t>
  </si>
  <si>
    <t>Task-4</t>
  </si>
  <si>
    <t>For a playlist dataset (song name, artist, isDownloaded, isFavorite), use the OR function with IF to mark songs as 'Quick Access' if they are either downloaded OR marked as favorite.</t>
  </si>
  <si>
    <t>No.</t>
  </si>
  <si>
    <t>Song Name</t>
  </si>
  <si>
    <t>Artist</t>
  </si>
  <si>
    <t>Downloaded</t>
  </si>
  <si>
    <t>Favorite</t>
  </si>
  <si>
    <t>Quick Access</t>
  </si>
  <si>
    <t>Tum Hi Ho</t>
  </si>
  <si>
    <t>Arijit Singh</t>
  </si>
  <si>
    <t>Yes</t>
  </si>
  <si>
    <t>Galliyan</t>
  </si>
  <si>
    <t>Ankit Tiwari</t>
  </si>
  <si>
    <t>No</t>
  </si>
  <si>
    <t>Dilbar</t>
  </si>
  <si>
    <t>Neha Kakkar</t>
  </si>
  <si>
    <t>Moh Moh Ke Dhaage</t>
  </si>
  <si>
    <t>Papon</t>
  </si>
  <si>
    <t>Lungi Dance</t>
  </si>
  <si>
    <t>Honey Singh</t>
  </si>
  <si>
    <t>Task-5</t>
  </si>
  <si>
    <t>Use the XOR function with IF in Excel to flag Zomato orders as 'Suspicious' only if exactly one of these is true: the delivery address is new OR the payment is by cash, but not both or neither. 
Hint: XOR returns TRUE only when exactly one condition is true.</t>
  </si>
  <si>
    <t>Address</t>
  </si>
  <si>
    <t>Payment Method</t>
  </si>
  <si>
    <t>New</t>
  </si>
  <si>
    <t>Cash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</si>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</sst>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8.5500000000000007"/>
      <color theme="1"/>
      <name val="Segoe UI"/>
      <charset val="134"/>
    </font>
    <font>
      <b/>
      <sz val="8.5500000000000007"/>
      <name val="Segoe UI"/>
      <charset val="134"/>
    </font>
    <font>
      <b/>
      <sz val="11"/>
      <color theme="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0" fillId="0" borderId="0" xfId="0" quotePrefix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94A0-31ED-4E82-90C9-92166EE01A23}">
  <dimension ref="A4:P60"/>
  <sheetViews>
    <sheetView tabSelected="1" topLeftCell="A13" workbookViewId="0">
      <selection activeCell="N13" sqref="N13"/>
    </sheetView>
  </sheetViews>
  <sheetFormatPr defaultColWidth="9.140625" defaultRowHeight="14.3"/>
  <cols>
    <col min="1" max="2" width="9.140625" style="3"/>
    <col min="3" max="3" width="11.85546875" style="3" customWidth="1"/>
    <col min="4" max="4" width="21" style="3" customWidth="1"/>
    <col min="5" max="5" width="19.42578125" style="3" customWidth="1"/>
    <col min="6" max="6" width="13.28515625" style="3" customWidth="1"/>
    <col min="7" max="7" width="13.7109375" style="3" customWidth="1"/>
    <col min="8" max="8" width="21" style="3" customWidth="1"/>
    <col min="9" max="9" width="17.42578125" style="3" customWidth="1"/>
    <col min="10" max="10" width="17.7109375" style="3" customWidth="1"/>
    <col min="11" max="11" width="11.28515625" style="3" customWidth="1"/>
    <col min="12" max="16384" width="9.140625" style="3"/>
  </cols>
  <sheetData>
    <row r="4" spans="1:16">
      <c r="A4" s="1" t="s">
        <v>0</v>
      </c>
      <c r="B4" s="2" t="s">
        <v>1</v>
      </c>
    </row>
    <row r="7" spans="1:16"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K7" s="4" t="s">
        <v>9</v>
      </c>
    </row>
    <row r="8" spans="1:16">
      <c r="C8" s="5">
        <v>1</v>
      </c>
      <c r="D8" s="6">
        <v>46114</v>
      </c>
      <c r="E8" s="5" t="s">
        <v>10</v>
      </c>
      <c r="F8" s="5">
        <v>4</v>
      </c>
      <c r="G8" s="5">
        <v>150</v>
      </c>
      <c r="H8" s="5">
        <f>G8*F8</f>
        <v>600</v>
      </c>
      <c r="I8" s="7">
        <f>D8+5</f>
        <v>46119</v>
      </c>
      <c r="K8" s="5" t="str">
        <f>IF(H8&gt;=500,"High Value","Regular")</f>
        <v>High Value</v>
      </c>
    </row>
    <row r="9" spans="1:16">
      <c r="C9" s="5">
        <v>2</v>
      </c>
      <c r="D9" s="6">
        <v>46117</v>
      </c>
      <c r="E9" s="5" t="s">
        <v>11</v>
      </c>
      <c r="F9" s="5">
        <v>6</v>
      </c>
      <c r="G9" s="5">
        <v>199</v>
      </c>
      <c r="H9" s="5">
        <f>G9*F9</f>
        <v>1194</v>
      </c>
      <c r="I9" s="7">
        <f>D9+5</f>
        <v>46122</v>
      </c>
      <c r="K9" s="5" t="str">
        <f>IF(H9&gt;=500,"High Value","Regular")</f>
        <v>High Value</v>
      </c>
    </row>
    <row r="10" spans="1:16">
      <c r="C10" s="5">
        <v>3</v>
      </c>
      <c r="D10" s="6">
        <v>46167</v>
      </c>
      <c r="E10" s="5" t="s">
        <v>12</v>
      </c>
      <c r="F10" s="5">
        <v>2</v>
      </c>
      <c r="G10" s="5">
        <v>50</v>
      </c>
      <c r="H10" s="5">
        <f>G10*F10</f>
        <v>100</v>
      </c>
      <c r="I10" s="7">
        <f>D10+5</f>
        <v>46172</v>
      </c>
      <c r="K10" s="5" t="str">
        <f>IF(H10&gt;=500,"High Value","Regular")</f>
        <v>Regular</v>
      </c>
    </row>
    <row r="11" spans="1:16">
      <c r="C11" s="5">
        <v>4</v>
      </c>
      <c r="D11" s="6">
        <v>46172</v>
      </c>
      <c r="E11" s="5" t="s">
        <v>13</v>
      </c>
      <c r="F11" s="5">
        <v>9</v>
      </c>
      <c r="G11" s="5">
        <v>60</v>
      </c>
      <c r="H11" s="5">
        <f>G11*F11</f>
        <v>540</v>
      </c>
      <c r="I11" s="7">
        <f>D11+5</f>
        <v>46177</v>
      </c>
      <c r="K11" s="5" t="str">
        <f>IF(H11&gt;=500,"High Value","Regular")</f>
        <v>High Value</v>
      </c>
    </row>
    <row r="12" spans="1:16">
      <c r="C12" s="5">
        <v>5</v>
      </c>
      <c r="D12" s="6">
        <v>46177</v>
      </c>
      <c r="E12" s="5" t="s">
        <v>14</v>
      </c>
      <c r="F12" s="5">
        <v>1</v>
      </c>
      <c r="G12" s="5">
        <v>200</v>
      </c>
      <c r="H12" s="5">
        <f>G12*F12</f>
        <v>200</v>
      </c>
      <c r="I12" s="7">
        <f>D12+5</f>
        <v>46182</v>
      </c>
      <c r="K12" s="5" t="str">
        <f>IF(H12&gt;=500,"High Value","Regular")</f>
        <v>Regular</v>
      </c>
    </row>
    <row r="15" spans="1:16" ht="34.950000000000003" customHeight="1">
      <c r="A15" s="1" t="s">
        <v>15</v>
      </c>
      <c r="B15" s="8" t="s">
        <v>16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>
      <c r="D16" s="9" t="s">
        <v>17</v>
      </c>
    </row>
    <row r="18" spans="1:12">
      <c r="C18" s="4" t="s">
        <v>18</v>
      </c>
      <c r="D18" s="4" t="s">
        <v>19</v>
      </c>
      <c r="E18" s="4" t="s">
        <v>20</v>
      </c>
      <c r="F18" s="4" t="s">
        <v>21</v>
      </c>
      <c r="G18" s="4" t="s">
        <v>22</v>
      </c>
      <c r="H18" s="4" t="s">
        <v>23</v>
      </c>
      <c r="I18" s="4" t="s">
        <v>24</v>
      </c>
      <c r="K18" s="4" t="s">
        <v>9</v>
      </c>
    </row>
    <row r="19" spans="1:12">
      <c r="C19" s="5">
        <v>1</v>
      </c>
      <c r="D19" s="6" t="s">
        <v>25</v>
      </c>
      <c r="E19" s="5">
        <v>150</v>
      </c>
      <c r="F19" s="3">
        <v>175</v>
      </c>
      <c r="G19" s="3">
        <v>200</v>
      </c>
      <c r="H19" s="3">
        <v>200</v>
      </c>
      <c r="I19" s="3">
        <f t="shared" ref="I19:I24" si="0">SUM(E19:H19)</f>
        <v>725</v>
      </c>
      <c r="K19" s="3" t="str">
        <f t="shared" ref="K19:K24" si="1">IF(I19&gt;=1000,"Star",IF(I19&gt;=700,"Pro",IF(I19&gt;=400,"Rising","Newbie")))</f>
        <v>Pro</v>
      </c>
      <c r="L19" s="10" t="s">
        <v>26</v>
      </c>
    </row>
    <row r="20" spans="1:12">
      <c r="C20" s="5">
        <v>2</v>
      </c>
      <c r="D20" s="6" t="s">
        <v>27</v>
      </c>
      <c r="E20" s="5">
        <v>200</v>
      </c>
      <c r="F20" s="3">
        <v>250</v>
      </c>
      <c r="G20" s="3">
        <v>300</v>
      </c>
      <c r="H20" s="3">
        <v>325</v>
      </c>
      <c r="I20" s="3">
        <f t="shared" si="0"/>
        <v>1075</v>
      </c>
      <c r="K20" s="3" t="str">
        <f t="shared" si="1"/>
        <v>Star</v>
      </c>
    </row>
    <row r="21" spans="1:12">
      <c r="C21" s="5">
        <v>3</v>
      </c>
      <c r="D21" s="6" t="s">
        <v>28</v>
      </c>
      <c r="E21" s="5">
        <v>300</v>
      </c>
      <c r="F21" s="3">
        <v>350</v>
      </c>
      <c r="G21" s="3">
        <v>275</v>
      </c>
      <c r="H21" s="3">
        <v>15</v>
      </c>
      <c r="I21" s="3">
        <f t="shared" si="0"/>
        <v>940</v>
      </c>
      <c r="K21" s="3" t="str">
        <f t="shared" si="1"/>
        <v>Pro</v>
      </c>
    </row>
    <row r="22" spans="1:12">
      <c r="C22" s="5">
        <v>4</v>
      </c>
      <c r="D22" s="6" t="s">
        <v>29</v>
      </c>
      <c r="E22" s="5">
        <v>250</v>
      </c>
      <c r="F22" s="3">
        <v>350</v>
      </c>
      <c r="G22" s="3">
        <v>100</v>
      </c>
      <c r="H22" s="3">
        <v>275</v>
      </c>
      <c r="I22" s="3">
        <f t="shared" si="0"/>
        <v>975</v>
      </c>
      <c r="K22" s="3" t="str">
        <f t="shared" si="1"/>
        <v>Pro</v>
      </c>
    </row>
    <row r="23" spans="1:12">
      <c r="C23" s="5">
        <v>5</v>
      </c>
      <c r="D23" s="6" t="s">
        <v>30</v>
      </c>
      <c r="E23" s="5">
        <v>175</v>
      </c>
      <c r="F23" s="3">
        <v>125</v>
      </c>
      <c r="G23" s="3">
        <v>50</v>
      </c>
      <c r="H23" s="3">
        <v>325</v>
      </c>
      <c r="I23" s="3">
        <f t="shared" si="0"/>
        <v>675</v>
      </c>
      <c r="K23" s="3" t="str">
        <f t="shared" si="1"/>
        <v>Rising</v>
      </c>
    </row>
    <row r="24" spans="1:12">
      <c r="C24" s="5">
        <v>5</v>
      </c>
      <c r="D24" s="6" t="s">
        <v>31</v>
      </c>
      <c r="E24" s="5">
        <v>50</v>
      </c>
      <c r="F24" s="3">
        <v>125</v>
      </c>
      <c r="G24" s="3">
        <v>50</v>
      </c>
      <c r="H24" s="3">
        <v>100</v>
      </c>
      <c r="I24" s="3">
        <f t="shared" si="0"/>
        <v>325</v>
      </c>
      <c r="K24" s="3" t="str">
        <f t="shared" si="1"/>
        <v>Newbie</v>
      </c>
    </row>
    <row r="28" spans="1:12">
      <c r="A28" s="1" t="s">
        <v>32</v>
      </c>
      <c r="B28" s="2" t="s">
        <v>33</v>
      </c>
    </row>
    <row r="31" spans="1:12">
      <c r="C31" s="4" t="s">
        <v>2</v>
      </c>
      <c r="D31" s="4" t="s">
        <v>3</v>
      </c>
      <c r="E31" s="4" t="s">
        <v>34</v>
      </c>
      <c r="F31" s="4" t="s">
        <v>5</v>
      </c>
      <c r="G31" s="4" t="s">
        <v>6</v>
      </c>
      <c r="H31" s="4" t="s">
        <v>7</v>
      </c>
      <c r="I31" s="4" t="s">
        <v>35</v>
      </c>
      <c r="J31" s="4" t="s">
        <v>36</v>
      </c>
      <c r="L31" s="4" t="s">
        <v>9</v>
      </c>
    </row>
    <row r="32" spans="1:12">
      <c r="C32" s="5">
        <v>101</v>
      </c>
      <c r="D32" s="6">
        <v>46114</v>
      </c>
      <c r="E32" s="5" t="s">
        <v>37</v>
      </c>
      <c r="F32" s="5">
        <v>3</v>
      </c>
      <c r="G32" s="5">
        <v>250</v>
      </c>
      <c r="H32" s="5">
        <f>F32*G32</f>
        <v>750</v>
      </c>
      <c r="I32" s="5" t="s">
        <v>38</v>
      </c>
      <c r="J32" s="5" t="s">
        <v>39</v>
      </c>
      <c r="L32" s="5" t="str">
        <f>IF(AND(I32="Prepaid",J32="Delivered"),"Eligible","Not")</f>
        <v>Eligible</v>
      </c>
    </row>
    <row r="33" spans="1:12">
      <c r="C33" s="5">
        <v>102</v>
      </c>
      <c r="D33" s="6">
        <v>46117</v>
      </c>
      <c r="E33" s="5" t="s">
        <v>40</v>
      </c>
      <c r="F33" s="5">
        <v>5</v>
      </c>
      <c r="G33" s="5">
        <v>199</v>
      </c>
      <c r="H33" s="5">
        <f>F33*G33</f>
        <v>995</v>
      </c>
      <c r="I33" s="5" t="s">
        <v>38</v>
      </c>
      <c r="J33" s="5" t="s">
        <v>41</v>
      </c>
      <c r="L33" s="5" t="str">
        <f>IF(AND(I33="Prepaid",J33="Delivered"),"Eligible","Not")</f>
        <v>Not</v>
      </c>
    </row>
    <row r="34" spans="1:12">
      <c r="C34" s="5">
        <v>103</v>
      </c>
      <c r="D34" s="6">
        <v>46167</v>
      </c>
      <c r="E34" s="5" t="s">
        <v>42</v>
      </c>
      <c r="F34" s="5">
        <v>5</v>
      </c>
      <c r="G34" s="5">
        <v>150</v>
      </c>
      <c r="H34" s="5">
        <f>F34*G34</f>
        <v>750</v>
      </c>
      <c r="I34" s="5" t="s">
        <v>43</v>
      </c>
      <c r="J34" s="5" t="s">
        <v>39</v>
      </c>
      <c r="L34" s="5" t="str">
        <f>IF(AND(I34="Prepaid",J34="Delivered"),"Eligible","Not")</f>
        <v>Not</v>
      </c>
    </row>
    <row r="35" spans="1:12">
      <c r="C35" s="5">
        <v>104</v>
      </c>
      <c r="D35" s="6">
        <v>46172</v>
      </c>
      <c r="E35" s="5" t="s">
        <v>44</v>
      </c>
      <c r="F35" s="5">
        <v>2</v>
      </c>
      <c r="G35" s="5">
        <v>1999</v>
      </c>
      <c r="H35" s="5">
        <f>F35*G35</f>
        <v>3998</v>
      </c>
      <c r="I35" s="5" t="s">
        <v>43</v>
      </c>
      <c r="J35" s="5" t="s">
        <v>41</v>
      </c>
      <c r="L35" s="5" t="str">
        <f>IF(AND(I35="Prepaid",J35="Delivered"),"Eligible","Not")</f>
        <v>Not</v>
      </c>
    </row>
    <row r="36" spans="1:12">
      <c r="C36" s="5">
        <v>105</v>
      </c>
      <c r="D36" s="6">
        <v>46177</v>
      </c>
      <c r="E36" s="5" t="s">
        <v>45</v>
      </c>
      <c r="F36" s="5">
        <v>10</v>
      </c>
      <c r="G36" s="5">
        <v>499</v>
      </c>
      <c r="H36" s="5">
        <f>F36*G36</f>
        <v>4990</v>
      </c>
      <c r="I36" s="5" t="s">
        <v>38</v>
      </c>
      <c r="J36" s="5" t="s">
        <v>39</v>
      </c>
      <c r="L36" s="5" t="str">
        <f>IF(AND(I36="Prepaid",J36="Delivered"),"Eligible","Not")</f>
        <v>Eligible</v>
      </c>
    </row>
    <row r="40" spans="1:12">
      <c r="A40" s="1" t="s">
        <v>46</v>
      </c>
      <c r="B40" s="2" t="s">
        <v>47</v>
      </c>
    </row>
    <row r="42" spans="1:12">
      <c r="C42" s="4" t="s">
        <v>48</v>
      </c>
      <c r="D42" s="4" t="s">
        <v>49</v>
      </c>
      <c r="E42" s="4" t="s">
        <v>50</v>
      </c>
      <c r="F42" s="4" t="s">
        <v>51</v>
      </c>
      <c r="G42" s="4" t="s">
        <v>52</v>
      </c>
      <c r="I42" s="4" t="s">
        <v>53</v>
      </c>
    </row>
    <row r="43" spans="1:12">
      <c r="C43" s="5">
        <v>1</v>
      </c>
      <c r="D43" s="5" t="s">
        <v>54</v>
      </c>
      <c r="E43" s="5" t="s">
        <v>55</v>
      </c>
      <c r="F43" s="5" t="s">
        <v>56</v>
      </c>
      <c r="G43" s="5" t="s">
        <v>56</v>
      </c>
      <c r="I43" s="5" t="str">
        <f>IF(OR(F43="Yes",G43="Yes"),"Quick Access","Not")</f>
        <v>Quick Access</v>
      </c>
    </row>
    <row r="44" spans="1:12">
      <c r="C44" s="5">
        <v>2</v>
      </c>
      <c r="D44" s="5" t="s">
        <v>57</v>
      </c>
      <c r="E44" s="5" t="s">
        <v>58</v>
      </c>
      <c r="F44" s="5" t="s">
        <v>56</v>
      </c>
      <c r="G44" s="5" t="s">
        <v>59</v>
      </c>
      <c r="I44" s="5" t="str">
        <f>IF(OR(F44="Yes",G44="Yes"),"Quick Access","Not")</f>
        <v>Quick Access</v>
      </c>
    </row>
    <row r="45" spans="1:12">
      <c r="C45" s="5">
        <v>3</v>
      </c>
      <c r="D45" s="5" t="s">
        <v>60</v>
      </c>
      <c r="E45" s="5" t="s">
        <v>61</v>
      </c>
      <c r="F45" s="5" t="s">
        <v>59</v>
      </c>
      <c r="G45" s="5" t="s">
        <v>59</v>
      </c>
      <c r="I45" s="5" t="str">
        <f>IF(OR(F45="Yes",G45="Yes"),"Quick Access","Not")</f>
        <v>Not</v>
      </c>
    </row>
    <row r="46" spans="1:12">
      <c r="C46" s="5">
        <v>4</v>
      </c>
      <c r="D46" s="5" t="s">
        <v>62</v>
      </c>
      <c r="E46" s="5" t="s">
        <v>63</v>
      </c>
      <c r="F46" s="5" t="s">
        <v>59</v>
      </c>
      <c r="G46" s="5" t="s">
        <v>59</v>
      </c>
      <c r="I46" s="5" t="str">
        <f>IF(OR(F46="Yes",G46="Yes"),"Quick Access","Not")</f>
        <v>Not</v>
      </c>
    </row>
    <row r="47" spans="1:12">
      <c r="C47" s="5">
        <v>5</v>
      </c>
      <c r="D47" s="5" t="s">
        <v>64</v>
      </c>
      <c r="E47" s="5" t="s">
        <v>65</v>
      </c>
      <c r="F47" s="5" t="s">
        <v>56</v>
      </c>
      <c r="G47" s="5" t="s">
        <v>59</v>
      </c>
      <c r="I47" s="5" t="str">
        <f>IF(OR(F47="Yes",G47="Yes"),"Quick Access","Not")</f>
        <v>Quick Access</v>
      </c>
    </row>
    <row r="52" spans="1:14" ht="24.95" customHeight="1">
      <c r="A52" s="1" t="s">
        <v>66</v>
      </c>
      <c r="B52" s="11" t="s">
        <v>67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5" spans="1:14">
      <c r="C55" s="12" t="s">
        <v>2</v>
      </c>
      <c r="D55" s="4" t="s">
        <v>3</v>
      </c>
      <c r="E55" s="4" t="s">
        <v>34</v>
      </c>
      <c r="F55" s="4" t="s">
        <v>6</v>
      </c>
      <c r="G55" s="12" t="s">
        <v>68</v>
      </c>
      <c r="H55" s="12" t="s">
        <v>69</v>
      </c>
      <c r="J55" s="4" t="s">
        <v>9</v>
      </c>
    </row>
    <row r="56" spans="1:14">
      <c r="C56" s="13">
        <v>1</v>
      </c>
      <c r="D56" s="6">
        <v>46114</v>
      </c>
      <c r="E56" s="5" t="s">
        <v>10</v>
      </c>
      <c r="F56" s="5">
        <v>150</v>
      </c>
      <c r="G56" s="13" t="s">
        <v>70</v>
      </c>
      <c r="H56" s="13" t="s">
        <v>71</v>
      </c>
      <c r="J56" s="3" t="str">
        <f>IF(_xlfn.XOR(G56="New",H56="Cash"),"Suspicious","Not")</f>
        <v>Not</v>
      </c>
      <c r="L56" s="3" t="b">
        <f>_xlfn.XOR(G56="New",H56="Cash")</f>
        <v>0</v>
      </c>
    </row>
    <row r="57" spans="1:14">
      <c r="C57" s="13">
        <v>2</v>
      </c>
      <c r="D57" s="6">
        <v>46117</v>
      </c>
      <c r="E57" s="5" t="s">
        <v>11</v>
      </c>
      <c r="F57" s="5">
        <v>199</v>
      </c>
      <c r="G57" s="13" t="s">
        <v>70</v>
      </c>
      <c r="H57" s="13" t="s">
        <v>38</v>
      </c>
      <c r="J57" s="3" t="str">
        <f>IF(_xlfn.XOR(G57="New",H57="Cash"),"Suspicious","Not")</f>
        <v>Suspicious</v>
      </c>
    </row>
    <row r="58" spans="1:14">
      <c r="C58" s="13">
        <v>3</v>
      </c>
      <c r="D58" s="6">
        <v>46167</v>
      </c>
      <c r="E58" s="5" t="s">
        <v>12</v>
      </c>
      <c r="F58" s="5">
        <v>50</v>
      </c>
      <c r="G58" s="13" t="s">
        <v>72</v>
      </c>
      <c r="H58" s="13" t="s">
        <v>71</v>
      </c>
      <c r="J58" s="3" t="str">
        <f>IF(_xlfn.XOR(G58="New",H58="Cash"),"Suspicious","Not")</f>
        <v>Suspicious</v>
      </c>
    </row>
    <row r="59" spans="1:14">
      <c r="C59" s="13">
        <v>4</v>
      </c>
      <c r="D59" s="6">
        <v>46172</v>
      </c>
      <c r="E59" s="5" t="s">
        <v>13</v>
      </c>
      <c r="F59" s="5">
        <v>60</v>
      </c>
      <c r="G59" s="13" t="s">
        <v>72</v>
      </c>
      <c r="H59" s="13" t="s">
        <v>38</v>
      </c>
      <c r="J59" s="3" t="str">
        <f>IF(_xlfn.XOR(G59="New",H59="Cash"),"Suspicious","Not")</f>
        <v>Not</v>
      </c>
    </row>
    <row r="60" spans="1:14">
      <c r="C60" s="13">
        <v>5</v>
      </c>
      <c r="D60" s="6">
        <v>46177</v>
      </c>
      <c r="E60" s="5" t="s">
        <v>14</v>
      </c>
      <c r="F60" s="5">
        <v>200</v>
      </c>
      <c r="G60" s="13" t="s">
        <v>70</v>
      </c>
      <c r="H60" s="13" t="s">
        <v>71</v>
      </c>
      <c r="J60" s="3" t="str">
        <f>IF(_xlfn.XOR(G60="New",H60="Cash"),"Suspicious","Not")</f>
        <v>Not</v>
      </c>
    </row>
  </sheetData>
  <mergeCells count="2">
    <mergeCell ref="B15:P15"/>
    <mergeCell ref="B52:N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dilip pawar</cp:lastModifiedBy>
  <dcterms:created xsi:type="dcterms:W3CDTF">2026-09-09T12:01:38Z</dcterms:created>
  <dcterms:modified xsi:type="dcterms:W3CDTF">2026-09-09T12:02:53Z</dcterms:modified>
</cp:coreProperties>
</file>