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8a33403e70c3ed1/Desktop/Data Analyst course/Session File/"/>
    </mc:Choice>
  </mc:AlternateContent>
  <xr:revisionPtr revIDLastSave="0" documentId="8_{53294DCC-C6DE-4F1B-8FB1-38F6017DB75E}" xr6:coauthVersionLast="47" xr6:coauthVersionMax="47" xr10:uidLastSave="{00000000-0000-0000-0000-000000000000}"/>
  <bookViews>
    <workbookView xWindow="-114" yWindow="-114" windowWidth="27602" windowHeight="14927" xr2:uid="{3A53F8BF-8B2D-4B98-A1D6-EA5F7C77BA7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7" i="1" l="1"/>
  <c r="J50" i="1"/>
  <c r="J37" i="1"/>
  <c r="J21" i="1"/>
  <c r="J6" i="1"/>
</calcChain>
</file>

<file path=xl/sharedStrings.xml><?xml version="1.0" encoding="utf-8"?>
<sst xmlns="http://schemas.openxmlformats.org/spreadsheetml/2006/main" count="138" uniqueCount="111">
  <si>
    <t>Task-1</t>
  </si>
  <si>
    <t>Create an Excel sheet with a list of 10 Flipkart products (Product ID, Name, Category, Price) and a separate table with just Product ID. Use XLOOKUP to fetch the corresponding product name for each Product ID.</t>
  </si>
  <si>
    <t>Product ID</t>
  </si>
  <si>
    <t>Name</t>
  </si>
  <si>
    <t>Category</t>
  </si>
  <si>
    <t>Price</t>
  </si>
  <si>
    <t>Product Name</t>
  </si>
  <si>
    <t>Formula</t>
  </si>
  <si>
    <t>T-shirt</t>
  </si>
  <si>
    <t>Cloth</t>
  </si>
  <si>
    <t>=XLOOKUP(I6,C5:C15,D5:D15,"Not Exist",0,1)</t>
  </si>
  <si>
    <t>Ear Buds</t>
  </si>
  <si>
    <t>Headset</t>
  </si>
  <si>
    <t>DelL TFT</t>
  </si>
  <si>
    <t>Monitor</t>
  </si>
  <si>
    <t>Asus TFT</t>
  </si>
  <si>
    <t>Asian Shoes</t>
  </si>
  <si>
    <t>Footware</t>
  </si>
  <si>
    <t>Nike Shoes</t>
  </si>
  <si>
    <t>Vivo V50</t>
  </si>
  <si>
    <t>Mobile Phone</t>
  </si>
  <si>
    <t>Realme 19pro</t>
  </si>
  <si>
    <t>Iphone 18 pro</t>
  </si>
  <si>
    <t>Philips Mixer Grainder</t>
  </si>
  <si>
    <t>Home ware</t>
  </si>
  <si>
    <t>Task-2</t>
  </si>
  <si>
    <t>Given a table of Zomato restaurant orders (Order ID, Restaurant Name, Order Date, Amount), use XLOOKUP to find the last order amount for a specific restaurant by searching from the bottom of the list. Hint:  Set the search mode in XLOOKUP to start from the last row.</t>
  </si>
  <si>
    <t>Order ID</t>
  </si>
  <si>
    <t>Restaurant Name</t>
  </si>
  <si>
    <t>Order Date</t>
  </si>
  <si>
    <t>Amount</t>
  </si>
  <si>
    <t>Dominos</t>
  </si>
  <si>
    <t>KFc</t>
  </si>
  <si>
    <t>=XLOOKUP(I21,D20:D30,F20:F30,"Not Found",0,-1)</t>
  </si>
  <si>
    <t>KFC</t>
  </si>
  <si>
    <t>Burger Hub</t>
  </si>
  <si>
    <t>Dragon Momos</t>
  </si>
  <si>
    <t>Burger King</t>
  </si>
  <si>
    <t>Pizza Hut</t>
  </si>
  <si>
    <t>Task-3</t>
  </si>
  <si>
    <t>Build a small Excel table of Spotify playlists (Playlist Name, Genre, Created By, Number of Songs). Use XLOOKUP to search for the playlist by genre and return the playlist name. If the genre is not found, display 'No playlist available' as the default value.</t>
  </si>
  <si>
    <t>Playlist Name</t>
  </si>
  <si>
    <t>Genre</t>
  </si>
  <si>
    <t>Created By</t>
  </si>
  <si>
    <t>Number Of Songs</t>
  </si>
  <si>
    <t>Bollywood Hits</t>
  </si>
  <si>
    <t>Bollywood</t>
  </si>
  <si>
    <t>Dhananjay</t>
  </si>
  <si>
    <t>hip-hop</t>
  </si>
  <si>
    <t>=XLOOKUP(I37,D36:D42,C36:C42,"No Playlist Available",0,1)</t>
  </si>
  <si>
    <t>Chill Vibes</t>
  </si>
  <si>
    <t>Hip-hop</t>
  </si>
  <si>
    <t>Riya</t>
  </si>
  <si>
    <t>Punjabi Beats</t>
  </si>
  <si>
    <t>Punjabi</t>
  </si>
  <si>
    <t>Aarav</t>
  </si>
  <si>
    <t>Workout Energy</t>
  </si>
  <si>
    <t>Pop</t>
  </si>
  <si>
    <t>Kabir</t>
  </si>
  <si>
    <t>Romantic Melodies</t>
  </si>
  <si>
    <t>Romantic</t>
  </si>
  <si>
    <t>Neha</t>
  </si>
  <si>
    <t>Party Anthems</t>
  </si>
  <si>
    <t>EDM</t>
  </si>
  <si>
    <t>Arjun</t>
  </si>
  <si>
    <t>Task-4</t>
  </si>
  <si>
    <t>You have a list of IRCTC train bookings (Booking ID, Passenger Name, Train Number, Status). Use XLOOKUP to find the status of a booking by Booking ID, but intentionally enter a wrong Booking ID to see how XLOOKUP handles errors. Then, modify your formula to show 'Booking Not Found' instead of the default error.</t>
  </si>
  <si>
    <t>Booking ID</t>
  </si>
  <si>
    <t>Passenger Name</t>
  </si>
  <si>
    <t>Train Number</t>
  </si>
  <si>
    <t>Status</t>
  </si>
  <si>
    <t>BK001</t>
  </si>
  <si>
    <t>Vikas</t>
  </si>
  <si>
    <t>Confirmed</t>
  </si>
  <si>
    <t>BK000</t>
  </si>
  <si>
    <t>=XLOOKUP(I50,C50:C55,F50:F55,"Booking Not Found",0,1)</t>
  </si>
  <si>
    <t>BK002</t>
  </si>
  <si>
    <t>Vijay</t>
  </si>
  <si>
    <t>Waiting</t>
  </si>
  <si>
    <t>BK003</t>
  </si>
  <si>
    <t>Chirag</t>
  </si>
  <si>
    <t>BK004</t>
  </si>
  <si>
    <t>Vaibhav</t>
  </si>
  <si>
    <t>BK005</t>
  </si>
  <si>
    <t>Arijit</t>
  </si>
  <si>
    <t>BK006</t>
  </si>
  <si>
    <t>Lalit</t>
  </si>
  <si>
    <t>Task-5</t>
  </si>
  <si>
    <t>Use ChatGPT to generate an XLOOKUP formula that finds a Myntra order's delivery date by Order ID from a sample table. Paste the formula into your Excel sheet and test if it works with your data. Hint:  Ask ChatGPT: 'Write an XLOOKUP formula to find the delivery date for an order by Order ID in Excel.'</t>
  </si>
  <si>
    <t>Product</t>
  </si>
  <si>
    <t>Delivery Date</t>
  </si>
  <si>
    <t>MYN001</t>
  </si>
  <si>
    <t>T-Shirt</t>
  </si>
  <si>
    <t>MYN010</t>
  </si>
  <si>
    <t>MYN002</t>
  </si>
  <si>
    <t>Jeans</t>
  </si>
  <si>
    <t>MYN003</t>
  </si>
  <si>
    <t>Shoes</t>
  </si>
  <si>
    <t>MYN004</t>
  </si>
  <si>
    <t>Jacket</t>
  </si>
  <si>
    <t>MYN005</t>
  </si>
  <si>
    <t>Kurta</t>
  </si>
  <si>
    <t>MYN006</t>
  </si>
  <si>
    <t>Sneakers</t>
  </si>
  <si>
    <t>MYN007</t>
  </si>
  <si>
    <t>Saree</t>
  </si>
  <si>
    <t>MYN008</t>
  </si>
  <si>
    <t>Handbag</t>
  </si>
  <si>
    <t>MYN009</t>
  </si>
  <si>
    <t>Watch</t>
  </si>
  <si>
    <t>Hoodie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</si>
</sst>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family val="2"/>
      <scheme val="minor"/>
    </font>
    <font>
      <b/>
      <sz val="11"/>
      <color theme="1"/>
      <name val="Calibri"/>
      <family val="2"/>
      <scheme val="minor"/>
    </font>
    <font>
      <b/>
      <sz val="8"/>
      <color theme="1"/>
      <name val="Segoe UI"/>
      <family val="2"/>
    </font>
    <font>
      <b/>
      <sz val="11"/>
      <color theme="1"/>
      <name val="Calibri"/>
      <charset val="134"/>
      <scheme val="minor"/>
    </font>
  </fonts>
  <fills count="5">
    <fill>
      <patternFill patternType="none"/>
    </fill>
    <fill>
      <patternFill patternType="gray125"/>
    </fill>
    <fill>
      <patternFill patternType="solid">
        <fgColor theme="8" tint="-0.249977111117893"/>
        <bgColor indexed="64"/>
      </patternFill>
    </fill>
    <fill>
      <patternFill patternType="solid">
        <fgColor theme="4" tint="0.39991454817346722"/>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2" fillId="2" borderId="0" xfId="0" applyFont="1" applyFill="1" applyAlignment="1">
      <alignment vertical="center"/>
    </xf>
    <xf numFmtId="0" fontId="3" fillId="0" borderId="0" xfId="0" applyFont="1" applyAlignment="1">
      <alignment vertical="center"/>
    </xf>
    <xf numFmtId="0" fontId="0" fillId="0" borderId="0" xfId="0" applyAlignment="1">
      <alignment vertical="center"/>
    </xf>
    <xf numFmtId="0" fontId="0" fillId="3" borderId="1" xfId="0" applyFill="1" applyBorder="1" applyAlignment="1">
      <alignment horizontal="center" vertical="center"/>
    </xf>
    <xf numFmtId="0" fontId="1" fillId="3" borderId="1" xfId="0" applyFont="1" applyFill="1" applyBorder="1" applyAlignment="1">
      <alignment horizontal="center" vertical="center"/>
    </xf>
    <xf numFmtId="0" fontId="0" fillId="0" borderId="0" xfId="0" applyAlignment="1">
      <alignment horizontal="center" vertical="center"/>
    </xf>
    <xf numFmtId="0" fontId="0" fillId="0" borderId="0" xfId="0" quotePrefix="1" applyAlignment="1">
      <alignment vertical="center"/>
    </xf>
    <xf numFmtId="0" fontId="3" fillId="0" borderId="0" xfId="0" applyFont="1" applyAlignment="1">
      <alignment horizontal="left" vertical="center" wrapText="1"/>
    </xf>
    <xf numFmtId="14" fontId="0" fillId="0" borderId="0" xfId="0" applyNumberFormat="1" applyAlignment="1">
      <alignment horizontal="center" vertical="center"/>
    </xf>
    <xf numFmtId="0" fontId="0" fillId="0" borderId="0" xfId="0" applyAlignment="1">
      <alignment horizontal="center" vertical="center" wrapText="1"/>
    </xf>
    <xf numFmtId="0" fontId="4" fillId="4" borderId="0" xfId="0" applyFont="1" applyFill="1" applyAlignment="1">
      <alignment horizontal="center" vertical="center" wrapText="1"/>
    </xf>
    <xf numFmtId="15" fontId="0" fillId="0" borderId="0" xfId="0" applyNumberFormat="1" applyAlignment="1">
      <alignment horizontal="center" vertical="center" wrapText="1"/>
    </xf>
    <xf numFmtId="14" fontId="0" fillId="0" borderId="0" xfId="0" applyNumberForma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4BA24-1F9A-4866-8422-DE63F14678E3}">
  <dimension ref="A3:V76"/>
  <sheetViews>
    <sheetView tabSelected="1" workbookViewId="0">
      <selection sqref="A1:XFD1048576"/>
    </sheetView>
  </sheetViews>
  <sheetFormatPr defaultRowHeight="14.3"/>
  <cols>
    <col min="1" max="2" width="9.140625" style="3"/>
    <col min="3" max="3" width="28.42578125" style="3" customWidth="1"/>
    <col min="4" max="4" width="21" style="3" bestFit="1" customWidth="1"/>
    <col min="5" max="5" width="13.5703125" style="3" bestFit="1" customWidth="1"/>
    <col min="6" max="6" width="16.5703125" style="3" bestFit="1" customWidth="1"/>
    <col min="7" max="8" width="9.140625" style="3"/>
    <col min="9" max="9" width="16.42578125" style="3" bestFit="1" customWidth="1"/>
    <col min="10" max="10" width="24.5703125" style="3" customWidth="1"/>
    <col min="11" max="16384" width="9.140625" style="3"/>
  </cols>
  <sheetData>
    <row r="3" spans="1:12">
      <c r="A3" s="1" t="s">
        <v>0</v>
      </c>
      <c r="B3" s="2" t="s">
        <v>1</v>
      </c>
    </row>
    <row r="5" spans="1:12">
      <c r="C5" s="4" t="s">
        <v>2</v>
      </c>
      <c r="D5" s="4" t="s">
        <v>3</v>
      </c>
      <c r="E5" s="5" t="s">
        <v>4</v>
      </c>
      <c r="F5" s="5" t="s">
        <v>5</v>
      </c>
      <c r="I5" s="5" t="s">
        <v>2</v>
      </c>
      <c r="J5" s="5" t="s">
        <v>6</v>
      </c>
      <c r="L5" s="5" t="s">
        <v>7</v>
      </c>
    </row>
    <row r="6" spans="1:12">
      <c r="C6" s="6">
        <v>1</v>
      </c>
      <c r="D6" s="6" t="s">
        <v>8</v>
      </c>
      <c r="E6" s="6" t="s">
        <v>9</v>
      </c>
      <c r="F6" s="6">
        <v>499</v>
      </c>
      <c r="I6" s="3">
        <v>10</v>
      </c>
      <c r="J6" s="3" t="str">
        <f>_xlfn.XLOOKUP(I6,C5:C15,D5:D15,"Not Exist",0,1)</f>
        <v>Philips Mixer Grainder</v>
      </c>
      <c r="L6" s="7" t="s">
        <v>10</v>
      </c>
    </row>
    <row r="7" spans="1:12">
      <c r="C7" s="6">
        <v>2</v>
      </c>
      <c r="D7" s="6" t="s">
        <v>11</v>
      </c>
      <c r="E7" s="6" t="s">
        <v>12</v>
      </c>
      <c r="F7" s="6">
        <v>4999</v>
      </c>
    </row>
    <row r="8" spans="1:12">
      <c r="C8" s="6">
        <v>3</v>
      </c>
      <c r="D8" s="6" t="s">
        <v>13</v>
      </c>
      <c r="E8" s="6" t="s">
        <v>14</v>
      </c>
      <c r="F8" s="6">
        <v>15000</v>
      </c>
    </row>
    <row r="9" spans="1:12">
      <c r="C9" s="6">
        <v>4</v>
      </c>
      <c r="D9" s="6" t="s">
        <v>15</v>
      </c>
      <c r="E9" s="6" t="s">
        <v>14</v>
      </c>
      <c r="F9" s="6">
        <v>19000</v>
      </c>
    </row>
    <row r="10" spans="1:12">
      <c r="C10" s="6">
        <v>5</v>
      </c>
      <c r="D10" s="6" t="s">
        <v>16</v>
      </c>
      <c r="E10" s="6" t="s">
        <v>17</v>
      </c>
      <c r="F10" s="6">
        <v>750</v>
      </c>
    </row>
    <row r="11" spans="1:12">
      <c r="C11" s="6">
        <v>6</v>
      </c>
      <c r="D11" s="6" t="s">
        <v>18</v>
      </c>
      <c r="E11" s="6" t="s">
        <v>17</v>
      </c>
      <c r="F11" s="6">
        <v>1200</v>
      </c>
    </row>
    <row r="12" spans="1:12">
      <c r="C12" s="6">
        <v>7</v>
      </c>
      <c r="D12" s="6" t="s">
        <v>19</v>
      </c>
      <c r="E12" s="6" t="s">
        <v>20</v>
      </c>
      <c r="F12" s="6">
        <v>34000</v>
      </c>
    </row>
    <row r="13" spans="1:12">
      <c r="C13" s="6">
        <v>8</v>
      </c>
      <c r="D13" s="6" t="s">
        <v>21</v>
      </c>
      <c r="E13" s="6" t="s">
        <v>20</v>
      </c>
      <c r="F13" s="6">
        <v>29000</v>
      </c>
    </row>
    <row r="14" spans="1:12">
      <c r="C14" s="6">
        <v>9</v>
      </c>
      <c r="D14" s="6" t="s">
        <v>22</v>
      </c>
      <c r="E14" s="6" t="s">
        <v>20</v>
      </c>
      <c r="F14" s="6">
        <v>65000</v>
      </c>
    </row>
    <row r="15" spans="1:12">
      <c r="C15" s="6">
        <v>10</v>
      </c>
      <c r="D15" s="6" t="s">
        <v>23</v>
      </c>
      <c r="E15" s="6" t="s">
        <v>24</v>
      </c>
      <c r="F15" s="6">
        <v>7499</v>
      </c>
    </row>
    <row r="18" spans="1:22" ht="28.55" customHeight="1">
      <c r="A18" s="1" t="s">
        <v>25</v>
      </c>
      <c r="B18" s="8" t="s">
        <v>26</v>
      </c>
      <c r="C18" s="8"/>
      <c r="D18" s="8"/>
      <c r="E18" s="8"/>
      <c r="F18" s="8"/>
      <c r="G18" s="8"/>
      <c r="H18" s="8"/>
      <c r="I18" s="8"/>
      <c r="J18" s="8"/>
      <c r="K18" s="8"/>
      <c r="L18" s="8"/>
      <c r="M18" s="8"/>
      <c r="N18" s="8"/>
      <c r="O18" s="8"/>
      <c r="P18" s="8"/>
      <c r="Q18" s="8"/>
      <c r="R18" s="8"/>
      <c r="S18" s="8"/>
      <c r="T18" s="8"/>
      <c r="U18" s="8"/>
      <c r="V18" s="8"/>
    </row>
    <row r="20" spans="1:22">
      <c r="C20" s="4" t="s">
        <v>27</v>
      </c>
      <c r="D20" s="4" t="s">
        <v>28</v>
      </c>
      <c r="E20" s="5" t="s">
        <v>29</v>
      </c>
      <c r="F20" s="5" t="s">
        <v>30</v>
      </c>
      <c r="I20" s="4" t="s">
        <v>28</v>
      </c>
      <c r="J20" s="5" t="s">
        <v>30</v>
      </c>
      <c r="L20" s="5" t="s">
        <v>7</v>
      </c>
    </row>
    <row r="21" spans="1:22">
      <c r="C21" s="6">
        <v>1</v>
      </c>
      <c r="D21" s="6" t="s">
        <v>31</v>
      </c>
      <c r="E21" s="9">
        <v>46133</v>
      </c>
      <c r="F21" s="6">
        <v>249</v>
      </c>
      <c r="I21" s="3" t="s">
        <v>32</v>
      </c>
      <c r="J21" s="3">
        <f>_xlfn.XLOOKUP(I21,D20:D30,F20:F30,"Not Found",0,-1)</f>
        <v>499</v>
      </c>
      <c r="L21" s="7" t="s">
        <v>33</v>
      </c>
    </row>
    <row r="22" spans="1:22">
      <c r="C22" s="6">
        <v>2</v>
      </c>
      <c r="D22" s="6" t="s">
        <v>34</v>
      </c>
      <c r="E22" s="9">
        <v>46133</v>
      </c>
      <c r="F22" s="6">
        <v>499</v>
      </c>
    </row>
    <row r="23" spans="1:22">
      <c r="C23" s="6">
        <v>3</v>
      </c>
      <c r="D23" s="6" t="s">
        <v>35</v>
      </c>
      <c r="E23" s="9">
        <v>46146</v>
      </c>
      <c r="F23" s="6">
        <v>250</v>
      </c>
    </row>
    <row r="24" spans="1:22">
      <c r="C24" s="6">
        <v>4</v>
      </c>
      <c r="D24" s="6" t="s">
        <v>36</v>
      </c>
      <c r="E24" s="9">
        <v>46156</v>
      </c>
      <c r="F24" s="6">
        <v>450</v>
      </c>
    </row>
    <row r="25" spans="1:22">
      <c r="C25" s="6">
        <v>5</v>
      </c>
      <c r="D25" s="6" t="s">
        <v>37</v>
      </c>
      <c r="E25" s="9">
        <v>46133</v>
      </c>
      <c r="F25" s="6">
        <v>599</v>
      </c>
    </row>
    <row r="26" spans="1:22">
      <c r="C26" s="6">
        <v>6</v>
      </c>
      <c r="D26" s="6" t="s">
        <v>38</v>
      </c>
      <c r="E26" s="9">
        <v>46133</v>
      </c>
      <c r="F26" s="6">
        <v>999</v>
      </c>
    </row>
    <row r="27" spans="1:22">
      <c r="C27" s="6">
        <v>7</v>
      </c>
      <c r="D27" s="6" t="s">
        <v>31</v>
      </c>
      <c r="E27" s="9">
        <v>46146</v>
      </c>
      <c r="F27" s="6">
        <v>999</v>
      </c>
    </row>
    <row r="28" spans="1:22">
      <c r="C28" s="6">
        <v>8</v>
      </c>
      <c r="D28" s="6" t="s">
        <v>34</v>
      </c>
      <c r="E28" s="9">
        <v>46156</v>
      </c>
      <c r="F28" s="6">
        <v>499</v>
      </c>
    </row>
    <row r="29" spans="1:22">
      <c r="C29" s="6">
        <v>9</v>
      </c>
      <c r="D29" s="6" t="s">
        <v>35</v>
      </c>
      <c r="E29" s="9">
        <v>46133</v>
      </c>
      <c r="F29" s="6">
        <v>1299</v>
      </c>
    </row>
    <row r="30" spans="1:22">
      <c r="C30" s="6">
        <v>10</v>
      </c>
      <c r="D30" s="6" t="s">
        <v>36</v>
      </c>
      <c r="E30" s="9">
        <v>46133</v>
      </c>
      <c r="F30" s="6">
        <v>120</v>
      </c>
    </row>
    <row r="34" spans="1:12">
      <c r="A34" s="1" t="s">
        <v>39</v>
      </c>
      <c r="B34" s="2" t="s">
        <v>40</v>
      </c>
    </row>
    <row r="36" spans="1:12">
      <c r="C36" s="4" t="s">
        <v>41</v>
      </c>
      <c r="D36" s="4" t="s">
        <v>42</v>
      </c>
      <c r="E36" s="5" t="s">
        <v>43</v>
      </c>
      <c r="F36" s="5" t="s">
        <v>44</v>
      </c>
      <c r="I36" s="4" t="s">
        <v>42</v>
      </c>
      <c r="J36" s="4" t="s">
        <v>41</v>
      </c>
      <c r="L36" s="5" t="s">
        <v>7</v>
      </c>
    </row>
    <row r="37" spans="1:12">
      <c r="C37" s="10" t="s">
        <v>45</v>
      </c>
      <c r="D37" s="10" t="s">
        <v>46</v>
      </c>
      <c r="E37" s="10" t="s">
        <v>47</v>
      </c>
      <c r="F37" s="10">
        <v>45</v>
      </c>
      <c r="I37" s="3" t="s">
        <v>48</v>
      </c>
      <c r="J37" s="3" t="str">
        <f>_xlfn.XLOOKUP(I37,D36:D42,C36:C42,"No Playlist Available",0,1)</f>
        <v>Chill Vibes</v>
      </c>
      <c r="L37" s="7" t="s">
        <v>49</v>
      </c>
    </row>
    <row r="38" spans="1:12">
      <c r="C38" s="10" t="s">
        <v>50</v>
      </c>
      <c r="D38" s="10" t="s">
        <v>51</v>
      </c>
      <c r="E38" s="10" t="s">
        <v>52</v>
      </c>
      <c r="F38" s="10">
        <v>32</v>
      </c>
    </row>
    <row r="39" spans="1:12">
      <c r="C39" s="10" t="s">
        <v>53</v>
      </c>
      <c r="D39" s="10" t="s">
        <v>54</v>
      </c>
      <c r="E39" s="10" t="s">
        <v>55</v>
      </c>
      <c r="F39" s="10">
        <v>50</v>
      </c>
    </row>
    <row r="40" spans="1:12">
      <c r="C40" s="10" t="s">
        <v>56</v>
      </c>
      <c r="D40" s="10" t="s">
        <v>57</v>
      </c>
      <c r="E40" s="10" t="s">
        <v>58</v>
      </c>
      <c r="F40" s="10">
        <v>38</v>
      </c>
    </row>
    <row r="41" spans="1:12">
      <c r="C41" s="10" t="s">
        <v>59</v>
      </c>
      <c r="D41" s="10" t="s">
        <v>60</v>
      </c>
      <c r="E41" s="10" t="s">
        <v>61</v>
      </c>
      <c r="F41" s="10">
        <v>42</v>
      </c>
    </row>
    <row r="42" spans="1:12">
      <c r="C42" s="10" t="s">
        <v>62</v>
      </c>
      <c r="D42" s="10" t="s">
        <v>63</v>
      </c>
      <c r="E42" s="10" t="s">
        <v>64</v>
      </c>
      <c r="F42" s="10">
        <v>55</v>
      </c>
    </row>
    <row r="47" spans="1:12" ht="18.55" customHeight="1">
      <c r="A47" s="1" t="s">
        <v>65</v>
      </c>
      <c r="B47" s="2" t="s">
        <v>66</v>
      </c>
    </row>
    <row r="49" spans="1:12">
      <c r="C49" s="4" t="s">
        <v>67</v>
      </c>
      <c r="D49" s="4" t="s">
        <v>68</v>
      </c>
      <c r="E49" s="5" t="s">
        <v>69</v>
      </c>
      <c r="F49" s="5" t="s">
        <v>70</v>
      </c>
      <c r="I49" s="4" t="s">
        <v>67</v>
      </c>
      <c r="J49" s="5" t="s">
        <v>70</v>
      </c>
      <c r="L49" s="5" t="s">
        <v>7</v>
      </c>
    </row>
    <row r="50" spans="1:12">
      <c r="C50" s="6" t="s">
        <v>71</v>
      </c>
      <c r="D50" s="6" t="s">
        <v>72</v>
      </c>
      <c r="E50" s="6">
        <v>98956</v>
      </c>
      <c r="F50" s="6" t="s">
        <v>73</v>
      </c>
      <c r="I50" s="3" t="s">
        <v>74</v>
      </c>
      <c r="J50" s="3" t="str">
        <f>_xlfn.XLOOKUP(I50,C50:C55,F50:F55,"Booking Not Found",0,1)</f>
        <v>Booking Not Found</v>
      </c>
      <c r="L50" s="7" t="s">
        <v>75</v>
      </c>
    </row>
    <row r="51" spans="1:12">
      <c r="C51" s="6" t="s">
        <v>76</v>
      </c>
      <c r="D51" s="6" t="s">
        <v>77</v>
      </c>
      <c r="E51" s="6">
        <v>94824</v>
      </c>
      <c r="F51" s="6" t="s">
        <v>78</v>
      </c>
    </row>
    <row r="52" spans="1:12">
      <c r="C52" s="6" t="s">
        <v>79</v>
      </c>
      <c r="D52" s="6" t="s">
        <v>80</v>
      </c>
      <c r="E52" s="6">
        <v>84582</v>
      </c>
      <c r="F52" s="6" t="s">
        <v>73</v>
      </c>
    </row>
    <row r="53" spans="1:12">
      <c r="C53" s="6" t="s">
        <v>81</v>
      </c>
      <c r="D53" s="6" t="s">
        <v>82</v>
      </c>
      <c r="E53" s="6">
        <v>94752</v>
      </c>
      <c r="F53" s="6" t="s">
        <v>78</v>
      </c>
    </row>
    <row r="54" spans="1:12">
      <c r="C54" s="6" t="s">
        <v>83</v>
      </c>
      <c r="D54" s="6" t="s">
        <v>84</v>
      </c>
      <c r="E54" s="6">
        <v>78458</v>
      </c>
      <c r="F54" s="6" t="s">
        <v>73</v>
      </c>
    </row>
    <row r="55" spans="1:12">
      <c r="C55" s="6" t="s">
        <v>85</v>
      </c>
      <c r="D55" s="6" t="s">
        <v>86</v>
      </c>
      <c r="E55" s="6">
        <v>98542</v>
      </c>
      <c r="F55" s="6" t="s">
        <v>78</v>
      </c>
    </row>
    <row r="64" spans="1:12" ht="27.1" customHeight="1">
      <c r="A64" s="1" t="s">
        <v>87</v>
      </c>
      <c r="B64" s="2" t="s">
        <v>88</v>
      </c>
    </row>
    <row r="66" spans="3:10">
      <c r="C66" s="11" t="s">
        <v>27</v>
      </c>
      <c r="D66" s="11" t="s">
        <v>89</v>
      </c>
      <c r="E66" s="11" t="s">
        <v>29</v>
      </c>
      <c r="F66" s="11" t="s">
        <v>90</v>
      </c>
      <c r="I66" s="11" t="s">
        <v>27</v>
      </c>
      <c r="J66" s="11" t="s">
        <v>90</v>
      </c>
    </row>
    <row r="67" spans="3:10">
      <c r="C67" s="10" t="s">
        <v>91</v>
      </c>
      <c r="D67" s="10" t="s">
        <v>92</v>
      </c>
      <c r="E67" s="12">
        <v>46266</v>
      </c>
      <c r="F67" s="12">
        <v>46269</v>
      </c>
      <c r="I67" s="3" t="s">
        <v>93</v>
      </c>
      <c r="J67" s="13">
        <f>_xlfn.XLOOKUP(I67,C67:C76,F67:F76,"Order Not Found")</f>
        <v>46279</v>
      </c>
    </row>
    <row r="68" spans="3:10">
      <c r="C68" s="10" t="s">
        <v>94</v>
      </c>
      <c r="D68" s="10" t="s">
        <v>95</v>
      </c>
      <c r="E68" s="12">
        <v>46267</v>
      </c>
      <c r="F68" s="12">
        <v>46271</v>
      </c>
    </row>
    <row r="69" spans="3:10">
      <c r="C69" s="10" t="s">
        <v>96</v>
      </c>
      <c r="D69" s="10" t="s">
        <v>97</v>
      </c>
      <c r="E69" s="12">
        <v>46268</v>
      </c>
      <c r="F69" s="12">
        <v>46272</v>
      </c>
    </row>
    <row r="70" spans="3:10">
      <c r="C70" s="10" t="s">
        <v>98</v>
      </c>
      <c r="D70" s="10" t="s">
        <v>99</v>
      </c>
      <c r="E70" s="12">
        <v>46269</v>
      </c>
      <c r="F70" s="12">
        <v>46274</v>
      </c>
    </row>
    <row r="71" spans="3:10">
      <c r="C71" s="10" t="s">
        <v>100</v>
      </c>
      <c r="D71" s="10" t="s">
        <v>101</v>
      </c>
      <c r="E71" s="12">
        <v>46270</v>
      </c>
      <c r="F71" s="12">
        <v>46273</v>
      </c>
    </row>
    <row r="72" spans="3:10">
      <c r="C72" s="10" t="s">
        <v>102</v>
      </c>
      <c r="D72" s="10" t="s">
        <v>103</v>
      </c>
      <c r="E72" s="12">
        <v>46271</v>
      </c>
      <c r="F72" s="12">
        <v>46275</v>
      </c>
    </row>
    <row r="73" spans="3:10">
      <c r="C73" s="10" t="s">
        <v>104</v>
      </c>
      <c r="D73" s="10" t="s">
        <v>105</v>
      </c>
      <c r="E73" s="12">
        <v>46272</v>
      </c>
      <c r="F73" s="12">
        <v>46276</v>
      </c>
    </row>
    <row r="74" spans="3:10">
      <c r="C74" s="10" t="s">
        <v>106</v>
      </c>
      <c r="D74" s="10" t="s">
        <v>107</v>
      </c>
      <c r="E74" s="12">
        <v>46273</v>
      </c>
      <c r="F74" s="12">
        <v>46277</v>
      </c>
    </row>
    <row r="75" spans="3:10">
      <c r="C75" s="10" t="s">
        <v>108</v>
      </c>
      <c r="D75" s="10" t="s">
        <v>109</v>
      </c>
      <c r="E75" s="12">
        <v>46274</v>
      </c>
      <c r="F75" s="12">
        <v>46278</v>
      </c>
    </row>
    <row r="76" spans="3:10">
      <c r="C76" s="10" t="s">
        <v>93</v>
      </c>
      <c r="D76" s="10" t="s">
        <v>110</v>
      </c>
      <c r="E76" s="12">
        <v>46275</v>
      </c>
      <c r="F76" s="12">
        <v>46279</v>
      </c>
    </row>
  </sheetData>
  <mergeCells count="1">
    <mergeCell ref="B18:V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dilip pawar</dc:creator>
  <cp:lastModifiedBy>dilip pawar</cp:lastModifiedBy>
  <dcterms:created xsi:type="dcterms:W3CDTF">2026-09-19T13:38:01Z</dcterms:created>
  <dcterms:modified xsi:type="dcterms:W3CDTF">2026-09-19T13:38:27Z</dcterms:modified>
</cp:coreProperties>
</file>