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8a33403e70c3ed1/Desktop/Data Analyst course/Session File/"/>
    </mc:Choice>
  </mc:AlternateContent>
  <xr:revisionPtr revIDLastSave="23" documentId="11_2843143712465B751FA713788ED3DA84F9B29B8D" xr6:coauthVersionLast="47" xr6:coauthVersionMax="47" xr10:uidLastSave="{4AFFF368-FB47-4EEC-90B3-0586FED8AFB4}"/>
  <bookViews>
    <workbookView xWindow="-114" yWindow="-114" windowWidth="27602" windowHeight="14927" activeTab="1" xr2:uid="{00000000-000D-0000-FFFF-FFFF00000000}"/>
  </bookViews>
  <sheets>
    <sheet name="Food Delivery Orders" sheetId="1" r:id="rId1"/>
    <sheet name="Sheet1" sheetId="3" r:id="rId2"/>
  </sheets>
  <definedNames>
    <definedName name="_xlnm._FilterDatabase" localSheetId="0" hidden="1">'Food Delivery Orders'!$A$1:$D$51</definedName>
    <definedName name="Slicer_Months__Order_Date">#N/A</definedName>
  </definedNames>
  <calcPr calcId="191029"/>
  <pivotCaches>
    <pivotCache cacheId="6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2" i="1"/>
</calcChain>
</file>

<file path=xl/sharedStrings.xml><?xml version="1.0" encoding="utf-8"?>
<sst xmlns="http://schemas.openxmlformats.org/spreadsheetml/2006/main" count="185" uniqueCount="81">
  <si>
    <t>Order ID</t>
  </si>
  <si>
    <t>Restaurant Name</t>
  </si>
  <si>
    <t>Order Date</t>
  </si>
  <si>
    <t>Total Amount (INR)</t>
  </si>
  <si>
    <t>ORD1016</t>
  </si>
  <si>
    <t>McDonald's</t>
  </si>
  <si>
    <t>ORD1020</t>
  </si>
  <si>
    <t>Domino's Pizza</t>
  </si>
  <si>
    <t>ORD1048</t>
  </si>
  <si>
    <t>Subway</t>
  </si>
  <si>
    <t>ORD1009</t>
  </si>
  <si>
    <t>ORD1003</t>
  </si>
  <si>
    <t>Pizza Hut</t>
  </si>
  <si>
    <t>ORD1034</t>
  </si>
  <si>
    <t>ORD1012</t>
  </si>
  <si>
    <t>ORD1022</t>
  </si>
  <si>
    <t>Chai Point</t>
  </si>
  <si>
    <t>ORD1004</t>
  </si>
  <si>
    <t>ORD1015</t>
  </si>
  <si>
    <t>ORD1046</t>
  </si>
  <si>
    <t>ORD1010</t>
  </si>
  <si>
    <t>ORD1039</t>
  </si>
  <si>
    <t>Mainland China</t>
  </si>
  <si>
    <t>ORD1017</t>
  </si>
  <si>
    <t>Wow! Momo</t>
  </si>
  <si>
    <t>ORD1044</t>
  </si>
  <si>
    <t>ORD1006</t>
  </si>
  <si>
    <t>ORD1028</t>
  </si>
  <si>
    <t>KFC</t>
  </si>
  <si>
    <t>ORD1036</t>
  </si>
  <si>
    <t>Behrouz Biryani</t>
  </si>
  <si>
    <t>ORD1026</t>
  </si>
  <si>
    <t>ORD1014</t>
  </si>
  <si>
    <t>ORD1001</t>
  </si>
  <si>
    <t>Burger King</t>
  </si>
  <si>
    <t>ORD1027</t>
  </si>
  <si>
    <t>ORD1008</t>
  </si>
  <si>
    <t>Biryani Blues</t>
  </si>
  <si>
    <t>ORD1030</t>
  </si>
  <si>
    <t>ORD1023</t>
  </si>
  <si>
    <t>Faasos</t>
  </si>
  <si>
    <t>ORD1042</t>
  </si>
  <si>
    <t>ORD1038</t>
  </si>
  <si>
    <t>The Good Bowl</t>
  </si>
  <si>
    <t>ORD1002</t>
  </si>
  <si>
    <t>ORD1033</t>
  </si>
  <si>
    <t>ORD1005</t>
  </si>
  <si>
    <t>ORD1013</t>
  </si>
  <si>
    <t>ORD1049</t>
  </si>
  <si>
    <t>ORD1019</t>
  </si>
  <si>
    <t>ORD1029</t>
  </si>
  <si>
    <t>ORD1045</t>
  </si>
  <si>
    <t>ORD1041</t>
  </si>
  <si>
    <t>ORD1035</t>
  </si>
  <si>
    <t>ORD1021</t>
  </si>
  <si>
    <t>ORD1047</t>
  </si>
  <si>
    <t>ORD1031</t>
  </si>
  <si>
    <t>ORD1050</t>
  </si>
  <si>
    <t>ORD1018</t>
  </si>
  <si>
    <t>ORD1032</t>
  </si>
  <si>
    <t>ORD1025</t>
  </si>
  <si>
    <t>ORD1024</t>
  </si>
  <si>
    <t>ORD1040</t>
  </si>
  <si>
    <t>ORD1037</t>
  </si>
  <si>
    <t>ORD1011</t>
  </si>
  <si>
    <t>ORD1007</t>
  </si>
  <si>
    <t>ORD1043</t>
  </si>
  <si>
    <t>Sum of Total Amount (INR)</t>
  </si>
  <si>
    <t>Row Labels</t>
  </si>
  <si>
    <t>Grand Total</t>
  </si>
  <si>
    <t>Task - 1</t>
  </si>
  <si>
    <t>Download a sample food delivery dataset (orders, restaurant names, order dates, total amount) and create a Pivot Table to summarize total sales per restaurant.</t>
  </si>
  <si>
    <t>Task - 2</t>
  </si>
  <si>
    <t>Using the Pivot Table from your food delivery dataset, insert a Pivot Chart as a Bar Chart to visually compare total sales of each restaurant. Apply a custom color scheme to make the chart more readable.</t>
  </si>
  <si>
    <t>Add a Slicer to your Pivot Table and Chart that lets you filter sales data by month, so you can see how each restaurant performed in different months.</t>
  </si>
  <si>
    <t>Task - 3</t>
  </si>
  <si>
    <t>Month</t>
  </si>
  <si>
    <t>Task - 4</t>
  </si>
  <si>
    <t xml:space="preserve">Switch your Pivot Chart to a Pie Chart to show the percentage share of total sales for each restaurant, and format the chart to display data labels with both value and percentage. Hint:  Right-click the chart to add data labels, then adjust label options. </t>
  </si>
  <si>
    <t>Create an interactive dashboard sheet that displays a Line Chart from your Pivot Table showing monthly sales trends for the top 3 restaurants, and design the dashboard layout to look clean and user-friendly (add a title, adjust fonts, and align elements).</t>
  </si>
  <si>
    <t>Task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</si>
</sst>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0"/>
  </numFmts>
  <fonts count="3" x14ac:knownFonts="1">
    <font>
      <sz val="11"/>
      <color theme="1"/>
      <name val="Calibri"/>
      <family val="2"/>
      <scheme val="minor"/>
    </font>
    <font>
      <b/>
      <sz val="11"/>
      <color rgb="FFFFFFFF"/>
      <name val="Calibri"/>
      <family val="2"/>
    </font>
    <font>
      <b/>
      <sz val="8"/>
      <color theme="1"/>
      <name val="Segoe UI"/>
      <family val="2"/>
    </font>
  </fonts>
  <fills count="4">
    <fill>
      <patternFill patternType="none"/>
    </fill>
    <fill>
      <patternFill patternType="gray125"/>
    </fill>
    <fill>
      <patternFill patternType="solid">
        <fgColor rgb="FF1F4E78"/>
      </patternFill>
    </fill>
    <fill>
      <patternFill patternType="solid">
        <fgColor theme="8"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166" fontId="0" fillId="0" borderId="0" xfId="0" applyNumberFormat="1"/>
    <xf numFmtId="0" fontId="1" fillId="2" borderId="1" xfId="0" applyFont="1" applyFill="1"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3" borderId="0" xfId="0" applyFill="1"/>
    <xf numFmtId="0" fontId="2" fillId="0" borderId="0" xfId="0" applyFont="1"/>
    <xf numFmtId="0" fontId="1" fillId="2"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[Session - 16 _Food_Delivery_Dataset.xlsx]Sheet1!PivotTable14</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of</a:t>
            </a:r>
            <a:r>
              <a:rPr lang="en-IN" baseline="0"/>
              <a:t> Each Restaurant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Sheet1!$B$26</c:f>
              <c:strCache>
                <c:ptCount val="1"/>
                <c:pt idx="0">
                  <c:v>Total</c:v>
                </c:pt>
              </c:strCache>
            </c:strRef>
          </c:tx>
          <c:spPr>
            <a:solidFill>
              <a:schemeClr val="accent5"/>
            </a:solidFill>
            <a:ln>
              <a:noFill/>
            </a:ln>
            <a:effectLst/>
          </c:spPr>
          <c:invertIfNegative val="0"/>
          <c:cat>
            <c:strRef>
              <c:f>Sheet1!$A$27:$A$40</c:f>
              <c:strCache>
                <c:ptCount val="13"/>
                <c:pt idx="0">
                  <c:v>Behrouz Biryani</c:v>
                </c:pt>
                <c:pt idx="1">
                  <c:v>Biryani Blues</c:v>
                </c:pt>
                <c:pt idx="2">
                  <c:v>Burger King</c:v>
                </c:pt>
                <c:pt idx="3">
                  <c:v>Chai Point</c:v>
                </c:pt>
                <c:pt idx="4">
                  <c:v>Domino's Pizza</c:v>
                </c:pt>
                <c:pt idx="5">
                  <c:v>Faasos</c:v>
                </c:pt>
                <c:pt idx="6">
                  <c:v>KFC</c:v>
                </c:pt>
                <c:pt idx="7">
                  <c:v>Mainland China</c:v>
                </c:pt>
                <c:pt idx="8">
                  <c:v>McDonald's</c:v>
                </c:pt>
                <c:pt idx="9">
                  <c:v>Pizza Hut</c:v>
                </c:pt>
                <c:pt idx="10">
                  <c:v>Subway</c:v>
                </c:pt>
                <c:pt idx="11">
                  <c:v>The Good Bowl</c:v>
                </c:pt>
                <c:pt idx="12">
                  <c:v>Wow! Momo</c:v>
                </c:pt>
              </c:strCache>
            </c:strRef>
          </c:cat>
          <c:val>
            <c:numRef>
              <c:f>Sheet1!$B$27:$B$40</c:f>
              <c:numCache>
                <c:formatCode>\₹#,##0</c:formatCode>
                <c:ptCount val="13"/>
                <c:pt idx="0">
                  <c:v>1692</c:v>
                </c:pt>
                <c:pt idx="1">
                  <c:v>3412</c:v>
                </c:pt>
                <c:pt idx="2">
                  <c:v>3389</c:v>
                </c:pt>
                <c:pt idx="3">
                  <c:v>2423</c:v>
                </c:pt>
                <c:pt idx="4">
                  <c:v>3528</c:v>
                </c:pt>
                <c:pt idx="5">
                  <c:v>3308</c:v>
                </c:pt>
                <c:pt idx="6">
                  <c:v>1852</c:v>
                </c:pt>
                <c:pt idx="7">
                  <c:v>1172</c:v>
                </c:pt>
                <c:pt idx="8">
                  <c:v>5726</c:v>
                </c:pt>
                <c:pt idx="9">
                  <c:v>3752</c:v>
                </c:pt>
                <c:pt idx="10">
                  <c:v>3813</c:v>
                </c:pt>
                <c:pt idx="11">
                  <c:v>5483</c:v>
                </c:pt>
                <c:pt idx="12">
                  <c:v>6301</c:v>
                </c:pt>
              </c:numCache>
            </c:numRef>
          </c:val>
          <c:extLst>
            <c:ext xmlns:c16="http://schemas.microsoft.com/office/drawing/2014/chart" uri="{C3380CC4-5D6E-409C-BE32-E72D297353CC}">
              <c16:uniqueId val="{00000000-52C5-4137-8F88-DD474289BED9}"/>
            </c:ext>
          </c:extLst>
        </c:ser>
        <c:dLbls>
          <c:showLegendKey val="0"/>
          <c:showVal val="0"/>
          <c:showCatName val="0"/>
          <c:showSerName val="0"/>
          <c:showPercent val="0"/>
          <c:showBubbleSize val="0"/>
        </c:dLbls>
        <c:gapWidth val="150"/>
        <c:overlap val="100"/>
        <c:axId val="2140718607"/>
        <c:axId val="824527408"/>
      </c:barChart>
      <c:catAx>
        <c:axId val="214071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27408"/>
        <c:crosses val="autoZero"/>
        <c:auto val="1"/>
        <c:lblAlgn val="ctr"/>
        <c:lblOffset val="100"/>
        <c:noMultiLvlLbl val="0"/>
      </c:catAx>
      <c:valAx>
        <c:axId val="8245274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71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 _Food_Delivery_Dataset.xlsx]Sheet1!PivotTable17</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75000"/>
                  </a:schemeClr>
                </a:solidFill>
              </a:rPr>
              <a:t>Total Sales for each</a:t>
            </a:r>
            <a:r>
              <a:rPr lang="en-US" b="1" baseline="0">
                <a:solidFill>
                  <a:schemeClr val="accent5">
                    <a:lumMod val="75000"/>
                  </a:schemeClr>
                </a:solidFill>
              </a:rPr>
              <a:t> Restaurant</a:t>
            </a:r>
            <a:endParaRPr lang="en-US" b="1">
              <a:solidFill>
                <a:schemeClr val="accent5">
                  <a:lumMod val="75000"/>
                </a:schemeClr>
              </a:solidFill>
            </a:endParaRPr>
          </a:p>
        </c:rich>
      </c:tx>
      <c:layout>
        <c:manualLayout>
          <c:xMode val="edge"/>
          <c:yMode val="edge"/>
          <c:x val="0.50083333333333335"/>
          <c:y val="2.0073687298250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lumMod val="80000"/>
              <a:lumOff val="20000"/>
            </a:schemeClr>
          </a:solidFill>
          <a:ln w="19050">
            <a:solidFill>
              <a:schemeClr val="lt1"/>
            </a:solidFill>
          </a:ln>
          <a:effectLst/>
        </c:spPr>
        <c:dLbl>
          <c:idx val="0"/>
          <c:layout>
            <c:manualLayout>
              <c:x val="-0.10800426509186353"/>
              <c:y val="-2.0988261883931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60000"/>
            </a:schemeClr>
          </a:solidFill>
          <a:ln w="19050">
            <a:solidFill>
              <a:schemeClr val="lt1"/>
            </a:solidFill>
          </a:ln>
          <a:effectLst/>
        </c:spPr>
        <c:dLbl>
          <c:idx val="0"/>
          <c:layout>
            <c:manualLayout>
              <c:x val="-4.6610017497812774E-2"/>
              <c:y val="-5.3489720034995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5">
              <a:lumMod val="60000"/>
            </a:schemeClr>
          </a:solidFill>
          <a:ln w="19050">
            <a:solidFill>
              <a:schemeClr val="lt1"/>
            </a:solidFill>
          </a:ln>
          <a:effectLst/>
        </c:spPr>
        <c:dLbl>
          <c:idx val="0"/>
          <c:layout>
            <c:manualLayout>
              <c:x val="-5.9583223972003496E-2"/>
              <c:y val="-6.1219378827646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3">
              <a:lumMod val="60000"/>
            </a:schemeClr>
          </a:solidFill>
          <a:ln w="19050">
            <a:solidFill>
              <a:schemeClr val="lt1"/>
            </a:solidFill>
          </a:ln>
          <a:effectLst/>
        </c:spPr>
        <c:dLbl>
          <c:idx val="0"/>
          <c:layout>
            <c:manualLayout>
              <c:x val="-3.0549212598425197E-2"/>
              <c:y val="1.3477325750947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3.1659011373578301E-2"/>
              <c:y val="-4.96573344998541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4.853455818022747E-2"/>
              <c:y val="-1.1517935258092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lumMod val="60000"/>
            </a:schemeClr>
          </a:solidFill>
          <a:ln w="19050">
            <a:solidFill>
              <a:schemeClr val="lt1"/>
            </a:solidFill>
          </a:ln>
          <a:effectLst/>
        </c:spPr>
        <c:dLbl>
          <c:idx val="0"/>
          <c:layout>
            <c:manualLayout>
              <c:x val="-2.0565069991251093E-2"/>
              <c:y val="4.1328375619714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135739282589676E-2"/>
              <c:y val="-8.8136053962833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4.8991907261592298E-2"/>
              <c:y val="-6.433831736201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2.4933289588801401E-2"/>
              <c:y val="1.28445142448771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dLbl>
          <c:idx val="0"/>
          <c:layout>
            <c:manualLayout>
              <c:x val="2.994838145231846E-2"/>
              <c:y val="7.84163547308257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lumMod val="60000"/>
            </a:schemeClr>
          </a:solidFill>
          <a:ln w="19050">
            <a:solidFill>
              <a:schemeClr val="lt1"/>
            </a:solidFill>
          </a:ln>
          <a:effectLst/>
        </c:spPr>
        <c:dLbl>
          <c:idx val="0"/>
          <c:layout>
            <c:manualLayout>
              <c:x val="2.5759951881014872E-2"/>
              <c:y val="-1.0086449136682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D7BE-478E-8B72-15EC0B8832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7BE-478E-8B72-15EC0B8832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7BE-478E-8B72-15EC0B8832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C-D7BE-478E-8B72-15EC0B8832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D7BE-478E-8B72-15EC0B8832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D7BE-478E-8B72-15EC0B88326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7BE-478E-8B72-15EC0B88326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D7BE-478E-8B72-15EC0B88326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5-D7BE-478E-8B72-15EC0B883260}"/>
              </c:ext>
            </c:extLst>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4-D7BE-478E-8B72-15EC0B88326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3-D7BE-478E-8B72-15EC0B88326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2-D7BE-478E-8B72-15EC0B883260}"/>
              </c:ext>
            </c:extLst>
          </c:dPt>
          <c:dLbls>
            <c:dLbl>
              <c:idx val="0"/>
              <c:layout>
                <c:manualLayout>
                  <c:x val="-4.135739282589676E-2"/>
                  <c:y val="-8.81360539628335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7BE-478E-8B72-15EC0B883260}"/>
                </c:ext>
              </c:extLst>
            </c:dLbl>
            <c:dLbl>
              <c:idx val="1"/>
              <c:layout>
                <c:manualLayout>
                  <c:x val="4.8991907261592298E-2"/>
                  <c:y val="-6.433831736201985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D7BE-478E-8B72-15EC0B883260}"/>
                </c:ext>
              </c:extLst>
            </c:dLbl>
            <c:dLbl>
              <c:idx val="2"/>
              <c:layout>
                <c:manualLayout>
                  <c:x val="2.4933289588801401E-2"/>
                  <c:y val="1.2844514244877158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7BE-478E-8B72-15EC0B883260}"/>
                </c:ext>
              </c:extLst>
            </c:dLbl>
            <c:dLbl>
              <c:idx val="3"/>
              <c:layout>
                <c:manualLayout>
                  <c:x val="2.994838145231846E-2"/>
                  <c:y val="7.8416354730825744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7BE-478E-8B72-15EC0B883260}"/>
                </c:ext>
              </c:extLst>
            </c:dLbl>
            <c:dLbl>
              <c:idx val="4"/>
              <c:layout>
                <c:manualLayout>
                  <c:x val="3.1659011373578301E-2"/>
                  <c:y val="-4.965733449985418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7BE-478E-8B72-15EC0B883260}"/>
                </c:ext>
              </c:extLst>
            </c:dLbl>
            <c:dLbl>
              <c:idx val="5"/>
              <c:layout>
                <c:manualLayout>
                  <c:x val="4.853455818022747E-2"/>
                  <c:y val="-1.151793525809273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7BE-478E-8B72-15EC0B883260}"/>
                </c:ext>
              </c:extLst>
            </c:dLbl>
            <c:dLbl>
              <c:idx val="6"/>
              <c:layout>
                <c:manualLayout>
                  <c:x val="2.5759951881014872E-2"/>
                  <c:y val="-1.008644913668263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7BE-478E-8B72-15EC0B883260}"/>
                </c:ext>
              </c:extLst>
            </c:dLbl>
            <c:dLbl>
              <c:idx val="7"/>
              <c:layout>
                <c:manualLayout>
                  <c:x val="-2.0565069991251093E-2"/>
                  <c:y val="4.13283756197142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D7BE-478E-8B72-15EC0B883260}"/>
                </c:ext>
              </c:extLst>
            </c:dLbl>
            <c:dLbl>
              <c:idx val="8"/>
              <c:layout>
                <c:manualLayout>
                  <c:x val="-3.0549212598425197E-2"/>
                  <c:y val="1.347732575094779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BE-478E-8B72-15EC0B883260}"/>
                </c:ext>
              </c:extLst>
            </c:dLbl>
            <c:dLbl>
              <c:idx val="10"/>
              <c:layout>
                <c:manualLayout>
                  <c:x val="-5.9583223972003496E-2"/>
                  <c:y val="-6.121937882764654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7BE-478E-8B72-15EC0B883260}"/>
                </c:ext>
              </c:extLst>
            </c:dLbl>
            <c:dLbl>
              <c:idx val="11"/>
              <c:layout>
                <c:manualLayout>
                  <c:x val="-4.6610017497812774E-2"/>
                  <c:y val="-5.348972003499562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BE-478E-8B72-15EC0B883260}"/>
                </c:ext>
              </c:extLst>
            </c:dLbl>
            <c:dLbl>
              <c:idx val="12"/>
              <c:layout>
                <c:manualLayout>
                  <c:x val="-0.10800426509186353"/>
                  <c:y val="-2.09882618839311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7BE-478E-8B72-15EC0B8832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Sheet1!$A$70:$A$83</c:f>
              <c:strCache>
                <c:ptCount val="13"/>
                <c:pt idx="0">
                  <c:v>Behrouz Biryani</c:v>
                </c:pt>
                <c:pt idx="1">
                  <c:v>Biryani Blues</c:v>
                </c:pt>
                <c:pt idx="2">
                  <c:v>Burger King</c:v>
                </c:pt>
                <c:pt idx="3">
                  <c:v>Chai Point</c:v>
                </c:pt>
                <c:pt idx="4">
                  <c:v>Domino's Pizza</c:v>
                </c:pt>
                <c:pt idx="5">
                  <c:v>Faasos</c:v>
                </c:pt>
                <c:pt idx="6">
                  <c:v>KFC</c:v>
                </c:pt>
                <c:pt idx="7">
                  <c:v>Mainland China</c:v>
                </c:pt>
                <c:pt idx="8">
                  <c:v>McDonald's</c:v>
                </c:pt>
                <c:pt idx="9">
                  <c:v>Pizza Hut</c:v>
                </c:pt>
                <c:pt idx="10">
                  <c:v>Subway</c:v>
                </c:pt>
                <c:pt idx="11">
                  <c:v>The Good Bowl</c:v>
                </c:pt>
                <c:pt idx="12">
                  <c:v>Wow! Momo</c:v>
                </c:pt>
              </c:strCache>
            </c:strRef>
          </c:cat>
          <c:val>
            <c:numRef>
              <c:f>Sheet1!$B$70:$B$83</c:f>
              <c:numCache>
                <c:formatCode>\₹#,##0</c:formatCode>
                <c:ptCount val="13"/>
                <c:pt idx="0">
                  <c:v>1692</c:v>
                </c:pt>
                <c:pt idx="1">
                  <c:v>3412</c:v>
                </c:pt>
                <c:pt idx="2">
                  <c:v>3389</c:v>
                </c:pt>
                <c:pt idx="3">
                  <c:v>2423</c:v>
                </c:pt>
                <c:pt idx="4">
                  <c:v>3528</c:v>
                </c:pt>
                <c:pt idx="5">
                  <c:v>3308</c:v>
                </c:pt>
                <c:pt idx="6">
                  <c:v>1852</c:v>
                </c:pt>
                <c:pt idx="7">
                  <c:v>1172</c:v>
                </c:pt>
                <c:pt idx="8">
                  <c:v>5726</c:v>
                </c:pt>
                <c:pt idx="9">
                  <c:v>3752</c:v>
                </c:pt>
                <c:pt idx="10">
                  <c:v>3813</c:v>
                </c:pt>
                <c:pt idx="11">
                  <c:v>5483</c:v>
                </c:pt>
                <c:pt idx="12">
                  <c:v>6301</c:v>
                </c:pt>
              </c:numCache>
            </c:numRef>
          </c:val>
          <c:extLst>
            <c:ext xmlns:c16="http://schemas.microsoft.com/office/drawing/2014/chart" uri="{C3380CC4-5D6E-409C-BE32-E72D297353CC}">
              <c16:uniqueId val="{00000000-D7BE-478E-8B72-15EC0B88326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 _Food_Delivery_Dataset.xlsx]Sheet1!PivotTable18</c:name>
    <c:fmtId val="8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3 Restaurants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Sheet1!$B$94</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Sheet1!$A$95:$A$98</c:f>
              <c:strCache>
                <c:ptCount val="3"/>
                <c:pt idx="0">
                  <c:v>McDonald's</c:v>
                </c:pt>
                <c:pt idx="1">
                  <c:v>The Good Bowl</c:v>
                </c:pt>
                <c:pt idx="2">
                  <c:v>Wow! Momo</c:v>
                </c:pt>
              </c:strCache>
            </c:strRef>
          </c:cat>
          <c:val>
            <c:numRef>
              <c:f>Sheet1!$B$95:$B$98</c:f>
              <c:numCache>
                <c:formatCode>\₹#,##0</c:formatCode>
                <c:ptCount val="3"/>
                <c:pt idx="0">
                  <c:v>5726</c:v>
                </c:pt>
                <c:pt idx="1">
                  <c:v>5483</c:v>
                </c:pt>
                <c:pt idx="2">
                  <c:v>6301</c:v>
                </c:pt>
              </c:numCache>
            </c:numRef>
          </c:val>
          <c:smooth val="0"/>
          <c:extLst>
            <c:ext xmlns:c16="http://schemas.microsoft.com/office/drawing/2014/chart" uri="{C3380CC4-5D6E-409C-BE32-E72D297353CC}">
              <c16:uniqueId val="{00000000-9862-4A3F-89F7-FBE2303AE922}"/>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96145600"/>
        <c:axId val="824547088"/>
      </c:lineChart>
      <c:catAx>
        <c:axId val="10961456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4547088"/>
        <c:crosses val="autoZero"/>
        <c:auto val="1"/>
        <c:lblAlgn val="ctr"/>
        <c:lblOffset val="100"/>
        <c:noMultiLvlLbl val="0"/>
      </c:catAx>
      <c:valAx>
        <c:axId val="82454708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14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81480</xdr:colOff>
      <xdr:row>24</xdr:row>
      <xdr:rowOff>153908</xdr:rowOff>
    </xdr:from>
    <xdr:to>
      <xdr:col>11</xdr:col>
      <xdr:colOff>380245</xdr:colOff>
      <xdr:row>39</xdr:row>
      <xdr:rowOff>117695</xdr:rowOff>
    </xdr:to>
    <xdr:graphicFrame macro="">
      <xdr:nvGraphicFramePr>
        <xdr:cNvPr id="2" name="Chart 1">
          <a:extLst>
            <a:ext uri="{FF2B5EF4-FFF2-40B4-BE49-F238E27FC236}">
              <a16:creationId xmlns:a16="http://schemas.microsoft.com/office/drawing/2014/main" id="{9E4B54F6-D5C1-68C2-300D-AF6A90EAC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27159</xdr:colOff>
      <xdr:row>46</xdr:row>
      <xdr:rowOff>9053</xdr:rowOff>
    </xdr:from>
    <xdr:to>
      <xdr:col>6</xdr:col>
      <xdr:colOff>543206</xdr:colOff>
      <xdr:row>61</xdr:row>
      <xdr:rowOff>0</xdr:rowOff>
    </xdr:to>
    <mc:AlternateContent xmlns:mc="http://schemas.openxmlformats.org/markup-compatibility/2006">
      <mc:Choice xmlns:a14="http://schemas.microsoft.com/office/drawing/2010/main" Requires="a14">
        <xdr:graphicFrame macro="">
          <xdr:nvGraphicFramePr>
            <xdr:cNvPr id="4" name="Months (Order Date)">
              <a:extLst>
                <a:ext uri="{FF2B5EF4-FFF2-40B4-BE49-F238E27FC236}">
                  <a16:creationId xmlns:a16="http://schemas.microsoft.com/office/drawing/2014/main" id="{E1A5E7D2-7E7D-212F-1FC2-D43A504BF23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3105337" y="8338241"/>
              <a:ext cx="2254313" cy="2706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443619</xdr:colOff>
      <xdr:row>66</xdr:row>
      <xdr:rowOff>172017</xdr:rowOff>
    </xdr:from>
    <xdr:to>
      <xdr:col>11</xdr:col>
      <xdr:colOff>506994</xdr:colOff>
      <xdr:row>83</xdr:row>
      <xdr:rowOff>172016</xdr:rowOff>
    </xdr:to>
    <xdr:graphicFrame macro="">
      <xdr:nvGraphicFramePr>
        <xdr:cNvPr id="5" name="Chart 4">
          <a:extLst>
            <a:ext uri="{FF2B5EF4-FFF2-40B4-BE49-F238E27FC236}">
              <a16:creationId xmlns:a16="http://schemas.microsoft.com/office/drawing/2014/main" id="{0EF54D93-0838-707D-ABBD-19772AB29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162962</xdr:colOff>
      <xdr:row>92</xdr:row>
      <xdr:rowOff>144854</xdr:rowOff>
    </xdr:from>
    <xdr:to>
      <xdr:col>11</xdr:col>
      <xdr:colOff>99588</xdr:colOff>
      <xdr:row>107</xdr:row>
      <xdr:rowOff>172014</xdr:rowOff>
    </xdr:to>
    <xdr:graphicFrame macro="">
      <xdr:nvGraphicFramePr>
        <xdr:cNvPr id="7" name="Chart 6">
          <a:extLst>
            <a:ext uri="{FF2B5EF4-FFF2-40B4-BE49-F238E27FC236}">
              <a16:creationId xmlns:a16="http://schemas.microsoft.com/office/drawing/2014/main" id="{EA2B06D3-30FE-BA1B-E41A-A1B2F9283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8.638174189815" createdVersion="8" refreshedVersion="8" minRefreshableVersion="3" recordCount="50" xr:uid="{573F0364-9A5C-44E2-BA1A-F9C58B0324B8}">
  <cacheSource type="worksheet">
    <worksheetSource ref="A1:D51" sheet="Food Delivery Orders"/>
  </cacheSource>
  <cacheFields count="6">
    <cacheField name="Order ID" numFmtId="0">
      <sharedItems count="50">
        <s v="ORD1016"/>
        <s v="ORD1020"/>
        <s v="ORD1048"/>
        <s v="ORD1009"/>
        <s v="ORD1003"/>
        <s v="ORD1034"/>
        <s v="ORD1012"/>
        <s v="ORD1022"/>
        <s v="ORD1004"/>
        <s v="ORD1015"/>
        <s v="ORD1046"/>
        <s v="ORD1010"/>
        <s v="ORD1039"/>
        <s v="ORD1017"/>
        <s v="ORD1044"/>
        <s v="ORD1006"/>
        <s v="ORD1028"/>
        <s v="ORD1036"/>
        <s v="ORD1026"/>
        <s v="ORD1014"/>
        <s v="ORD1001"/>
        <s v="ORD1027"/>
        <s v="ORD1008"/>
        <s v="ORD1030"/>
        <s v="ORD1023"/>
        <s v="ORD1042"/>
        <s v="ORD1038"/>
        <s v="ORD1002"/>
        <s v="ORD1033"/>
        <s v="ORD1005"/>
        <s v="ORD1013"/>
        <s v="ORD1049"/>
        <s v="ORD1019"/>
        <s v="ORD1029"/>
        <s v="ORD1045"/>
        <s v="ORD1041"/>
        <s v="ORD1035"/>
        <s v="ORD1021"/>
        <s v="ORD1047"/>
        <s v="ORD1031"/>
        <s v="ORD1050"/>
        <s v="ORD1018"/>
        <s v="ORD1032"/>
        <s v="ORD1025"/>
        <s v="ORD1024"/>
        <s v="ORD1040"/>
        <s v="ORD1037"/>
        <s v="ORD1011"/>
        <s v="ORD1007"/>
        <s v="ORD1043"/>
      </sharedItems>
    </cacheField>
    <cacheField name="Restaurant Name" numFmtId="0">
      <sharedItems count="13">
        <s v="McDonald's"/>
        <s v="Domino's Pizza"/>
        <s v="Subway"/>
        <s v="Pizza Hut"/>
        <s v="Chai Point"/>
        <s v="Mainland China"/>
        <s v="Wow! Momo"/>
        <s v="KFC"/>
        <s v="Behrouz Biryani"/>
        <s v="Burger King"/>
        <s v="Biryani Blues"/>
        <s v="Faasos"/>
        <s v="The Good Bowl"/>
      </sharedItems>
    </cacheField>
    <cacheField name="Order Date" numFmtId="165">
      <sharedItems containsSemiMixedTypes="0" containsNonDate="0" containsDate="1" containsString="0" minDate="2025-01-01T00:00:00" maxDate="2025-12-17T00:00:00" count="48">
        <d v="2025-01-01T00:00:00"/>
        <d v="2025-01-07T00:00:00"/>
        <d v="2025-01-11T00:00:00"/>
        <d v="2025-01-24T00:00:00"/>
        <d v="2025-01-26T00:00:00"/>
        <d v="2025-02-08T00:00:00"/>
        <d v="2025-02-12T00:00:00"/>
        <d v="2025-02-14T00:00:00"/>
        <d v="2025-03-09T00:00:00"/>
        <d v="2025-03-10T00:00:00"/>
        <d v="2025-03-13T00:00:00"/>
        <d v="2025-03-14T00:00:00"/>
        <d v="2025-03-17T00:00:00"/>
        <d v="2025-04-03T00:00:00"/>
        <d v="2025-04-14T00:00:00"/>
        <d v="2025-04-23T00:00:00"/>
        <d v="2025-05-18T00:00:00"/>
        <d v="2025-06-02T00:00:00"/>
        <d v="2025-06-17T00:00:00"/>
        <d v="2025-06-25T00:00:00"/>
        <d v="2025-07-03T00:00:00"/>
        <d v="2025-07-05T00:00:00"/>
        <d v="2025-07-09T00:00:00"/>
        <d v="2025-07-11T00:00:00"/>
        <d v="2025-07-12T00:00:00"/>
        <d v="2025-07-15T00:00:00"/>
        <d v="2025-07-16T00:00:00"/>
        <d v="2025-07-21T00:00:00"/>
        <d v="2025-07-31T00:00:00"/>
        <d v="2025-08-07T00:00:00"/>
        <d v="2025-08-22T00:00:00"/>
        <d v="2025-09-08T00:00:00"/>
        <d v="2025-09-09T00:00:00"/>
        <d v="2025-09-10T00:00:00"/>
        <d v="2025-09-15T00:00:00"/>
        <d v="2025-09-18T00:00:00"/>
        <d v="2025-10-03T00:00:00"/>
        <d v="2025-10-07T00:00:00"/>
        <d v="2025-10-18T00:00:00"/>
        <d v="2025-10-19T00:00:00"/>
        <d v="2025-11-08T00:00:00"/>
        <d v="2025-11-09T00:00:00"/>
        <d v="2025-11-22T00:00:00"/>
        <d v="2025-12-06T00:00:00"/>
        <d v="2025-12-10T00:00:00"/>
        <d v="2025-12-12T00:00:00"/>
        <d v="2025-12-15T00:00:00"/>
        <d v="2025-12-16T00:00:00"/>
      </sharedItems>
      <fieldGroup par="5"/>
    </cacheField>
    <cacheField name="Total Amount (INR)" numFmtId="166">
      <sharedItems containsSemiMixedTypes="0" containsString="0" containsNumber="1" containsInteger="1" minValue="209" maxValue="1770"/>
    </cacheField>
    <cacheField name="Days (Order Date)" numFmtId="0" databaseField="0">
      <fieldGroup base="2">
        <rangePr groupBy="days" startDate="2025-01-01T00:00:00" endDate="2025-12-17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2-2025"/>
        </groupItems>
      </fieldGroup>
    </cacheField>
    <cacheField name="Months (Order Date)" numFmtId="0" databaseField="0">
      <fieldGroup base="2">
        <rangePr groupBy="months" startDate="2025-01-01T00:00:00" endDate="2025-12-17T00:00:00"/>
        <groupItems count="14">
          <s v="&lt;01-01-2025"/>
          <s v="Jan"/>
          <s v="Feb"/>
          <s v="Mar"/>
          <s v="Apr"/>
          <s v="May"/>
          <s v="Jun"/>
          <s v="Jul"/>
          <s v="Aug"/>
          <s v="Sep"/>
          <s v="Oct"/>
          <s v="Nov"/>
          <s v="Dec"/>
          <s v="&gt;17-12-2025"/>
        </groupItems>
      </fieldGroup>
    </cacheField>
  </cacheFields>
  <extLst>
    <ext xmlns:x14="http://schemas.microsoft.com/office/spreadsheetml/2009/9/main" uri="{725AE2AE-9491-48be-B2B4-4EB974FC3084}">
      <x14:pivotCacheDefinition pivotCacheId="565926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1027"/>
  </r>
  <r>
    <x v="1"/>
    <x v="1"/>
    <x v="1"/>
    <n v="890"/>
  </r>
  <r>
    <x v="2"/>
    <x v="2"/>
    <x v="2"/>
    <n v="1536"/>
  </r>
  <r>
    <x v="3"/>
    <x v="2"/>
    <x v="3"/>
    <n v="1419"/>
  </r>
  <r>
    <x v="4"/>
    <x v="3"/>
    <x v="4"/>
    <n v="440"/>
  </r>
  <r>
    <x v="5"/>
    <x v="0"/>
    <x v="5"/>
    <n v="1216"/>
  </r>
  <r>
    <x v="6"/>
    <x v="0"/>
    <x v="6"/>
    <n v="219"/>
  </r>
  <r>
    <x v="7"/>
    <x v="4"/>
    <x v="7"/>
    <n v="1167"/>
  </r>
  <r>
    <x v="8"/>
    <x v="3"/>
    <x v="8"/>
    <n v="636"/>
  </r>
  <r>
    <x v="9"/>
    <x v="1"/>
    <x v="9"/>
    <n v="640"/>
  </r>
  <r>
    <x v="10"/>
    <x v="4"/>
    <x v="10"/>
    <n v="229"/>
  </r>
  <r>
    <x v="11"/>
    <x v="0"/>
    <x v="11"/>
    <n v="1153"/>
  </r>
  <r>
    <x v="12"/>
    <x v="5"/>
    <x v="11"/>
    <n v="677"/>
  </r>
  <r>
    <x v="13"/>
    <x v="6"/>
    <x v="12"/>
    <n v="746"/>
  </r>
  <r>
    <x v="14"/>
    <x v="0"/>
    <x v="13"/>
    <n v="1209"/>
  </r>
  <r>
    <x v="15"/>
    <x v="3"/>
    <x v="14"/>
    <n v="1770"/>
  </r>
  <r>
    <x v="16"/>
    <x v="7"/>
    <x v="15"/>
    <n v="1181"/>
  </r>
  <r>
    <x v="17"/>
    <x v="8"/>
    <x v="16"/>
    <n v="1692"/>
  </r>
  <r>
    <x v="18"/>
    <x v="5"/>
    <x v="17"/>
    <n v="280"/>
  </r>
  <r>
    <x v="19"/>
    <x v="6"/>
    <x v="18"/>
    <n v="1617"/>
  </r>
  <r>
    <x v="20"/>
    <x v="9"/>
    <x v="19"/>
    <n v="1007"/>
  </r>
  <r>
    <x v="21"/>
    <x v="1"/>
    <x v="20"/>
    <n v="1384"/>
  </r>
  <r>
    <x v="22"/>
    <x v="10"/>
    <x v="21"/>
    <n v="1187"/>
  </r>
  <r>
    <x v="23"/>
    <x v="7"/>
    <x v="22"/>
    <n v="209"/>
  </r>
  <r>
    <x v="24"/>
    <x v="11"/>
    <x v="23"/>
    <n v="827"/>
  </r>
  <r>
    <x v="25"/>
    <x v="11"/>
    <x v="24"/>
    <n v="1438"/>
  </r>
  <r>
    <x v="26"/>
    <x v="12"/>
    <x v="25"/>
    <n v="286"/>
  </r>
  <r>
    <x v="27"/>
    <x v="5"/>
    <x v="26"/>
    <n v="215"/>
  </r>
  <r>
    <x v="28"/>
    <x v="3"/>
    <x v="27"/>
    <n v="906"/>
  </r>
  <r>
    <x v="29"/>
    <x v="12"/>
    <x v="28"/>
    <n v="1678"/>
  </r>
  <r>
    <x v="30"/>
    <x v="6"/>
    <x v="29"/>
    <n v="1335"/>
  </r>
  <r>
    <x v="31"/>
    <x v="10"/>
    <x v="30"/>
    <n v="1180"/>
  </r>
  <r>
    <x v="32"/>
    <x v="0"/>
    <x v="31"/>
    <n v="553"/>
  </r>
  <r>
    <x v="33"/>
    <x v="0"/>
    <x v="32"/>
    <n v="349"/>
  </r>
  <r>
    <x v="34"/>
    <x v="4"/>
    <x v="33"/>
    <n v="1027"/>
  </r>
  <r>
    <x v="35"/>
    <x v="11"/>
    <x v="34"/>
    <n v="666"/>
  </r>
  <r>
    <x v="36"/>
    <x v="6"/>
    <x v="35"/>
    <n v="826"/>
  </r>
  <r>
    <x v="37"/>
    <x v="6"/>
    <x v="36"/>
    <n v="224"/>
  </r>
  <r>
    <x v="38"/>
    <x v="12"/>
    <x v="37"/>
    <n v="1642"/>
  </r>
  <r>
    <x v="39"/>
    <x v="7"/>
    <x v="38"/>
    <n v="462"/>
  </r>
  <r>
    <x v="40"/>
    <x v="12"/>
    <x v="39"/>
    <n v="1168"/>
  </r>
  <r>
    <x v="41"/>
    <x v="2"/>
    <x v="40"/>
    <n v="858"/>
  </r>
  <r>
    <x v="42"/>
    <x v="10"/>
    <x v="41"/>
    <n v="370"/>
  </r>
  <r>
    <x v="43"/>
    <x v="11"/>
    <x v="41"/>
    <n v="377"/>
  </r>
  <r>
    <x v="44"/>
    <x v="10"/>
    <x v="42"/>
    <n v="675"/>
  </r>
  <r>
    <x v="45"/>
    <x v="6"/>
    <x v="43"/>
    <n v="1553"/>
  </r>
  <r>
    <x v="46"/>
    <x v="9"/>
    <x v="44"/>
    <n v="623"/>
  </r>
  <r>
    <x v="47"/>
    <x v="1"/>
    <x v="45"/>
    <n v="614"/>
  </r>
  <r>
    <x v="48"/>
    <x v="9"/>
    <x v="46"/>
    <n v="1759"/>
  </r>
  <r>
    <x v="49"/>
    <x v="12"/>
    <x v="47"/>
    <n v="7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65AEF-0F8A-4F3A-9CDD-911E3B10D9D7}" name="PivotTable1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A94:B98" firstHeaderRow="1" firstDataRow="1" firstDataCol="1"/>
  <pivotFields count="6">
    <pivotField showAll="0">
      <items count="51">
        <item x="20"/>
        <item x="27"/>
        <item x="4"/>
        <item x="8"/>
        <item x="29"/>
        <item x="15"/>
        <item x="48"/>
        <item x="22"/>
        <item x="3"/>
        <item x="11"/>
        <item x="47"/>
        <item x="6"/>
        <item x="30"/>
        <item x="19"/>
        <item x="9"/>
        <item x="0"/>
        <item x="13"/>
        <item x="41"/>
        <item x="32"/>
        <item x="1"/>
        <item x="37"/>
        <item x="7"/>
        <item x="24"/>
        <item x="44"/>
        <item x="43"/>
        <item x="18"/>
        <item x="21"/>
        <item x="16"/>
        <item x="33"/>
        <item x="23"/>
        <item x="39"/>
        <item x="42"/>
        <item x="28"/>
        <item x="5"/>
        <item x="36"/>
        <item x="17"/>
        <item x="46"/>
        <item x="26"/>
        <item x="12"/>
        <item x="45"/>
        <item x="35"/>
        <item x="25"/>
        <item x="49"/>
        <item x="14"/>
        <item x="34"/>
        <item x="10"/>
        <item x="38"/>
        <item x="2"/>
        <item x="31"/>
        <item x="40"/>
        <item t="default"/>
      </items>
    </pivotField>
    <pivotField axis="axisRow" showAll="0" measureFilter="1">
      <items count="14">
        <item x="8"/>
        <item x="10"/>
        <item x="9"/>
        <item x="4"/>
        <item x="1"/>
        <item x="11"/>
        <item x="7"/>
        <item x="5"/>
        <item x="0"/>
        <item x="3"/>
        <item x="2"/>
        <item x="12"/>
        <item x="6"/>
        <item t="default"/>
      </items>
    </pivotField>
    <pivotField numFmtId="165"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v="8"/>
    </i>
    <i>
      <x v="11"/>
    </i>
    <i>
      <x v="12"/>
    </i>
    <i t="grand">
      <x/>
    </i>
  </rowItems>
  <colItems count="1">
    <i/>
  </colItems>
  <dataFields count="1">
    <dataField name="Sum of Total Amount (INR)" fld="3" baseField="0" baseItem="0" numFmtId="166"/>
  </dataFields>
  <chartFormats count="15">
    <chartFormat chart="36"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8" format="1">
      <pivotArea type="data" outline="0" fieldPosition="0">
        <references count="2">
          <reference field="4294967294" count="1" selected="0">
            <x v="0"/>
          </reference>
          <reference field="1" count="1" selected="0">
            <x v="12"/>
          </reference>
        </references>
      </pivotArea>
    </chartFormat>
    <chartFormat chart="48" format="2">
      <pivotArea type="data" outline="0" fieldPosition="0">
        <references count="2">
          <reference field="4294967294" count="1" selected="0">
            <x v="0"/>
          </reference>
          <reference field="1" count="1" selected="0">
            <x v="11"/>
          </reference>
        </references>
      </pivotArea>
    </chartFormat>
    <chartFormat chart="48" format="3">
      <pivotArea type="data" outline="0" fieldPosition="0">
        <references count="2">
          <reference field="4294967294" count="1" selected="0">
            <x v="0"/>
          </reference>
          <reference field="1" count="1" selected="0">
            <x v="10"/>
          </reference>
        </references>
      </pivotArea>
    </chartFormat>
    <chartFormat chart="48" format="4">
      <pivotArea type="data" outline="0" fieldPosition="0">
        <references count="2">
          <reference field="4294967294" count="1" selected="0">
            <x v="0"/>
          </reference>
          <reference field="1" count="1" selected="0">
            <x v="8"/>
          </reference>
        </references>
      </pivotArea>
    </chartFormat>
    <chartFormat chart="48" format="5">
      <pivotArea type="data" outline="0" fieldPosition="0">
        <references count="2">
          <reference field="4294967294" count="1" selected="0">
            <x v="0"/>
          </reference>
          <reference field="1" count="1" selected="0">
            <x v="4"/>
          </reference>
        </references>
      </pivotArea>
    </chartFormat>
    <chartFormat chart="48" format="6">
      <pivotArea type="data" outline="0" fieldPosition="0">
        <references count="2">
          <reference field="4294967294" count="1" selected="0">
            <x v="0"/>
          </reference>
          <reference field="1" count="1" selected="0">
            <x v="5"/>
          </reference>
        </references>
      </pivotArea>
    </chartFormat>
    <chartFormat chart="48" format="7">
      <pivotArea type="data" outline="0" fieldPosition="0">
        <references count="2">
          <reference field="4294967294" count="1" selected="0">
            <x v="0"/>
          </reference>
          <reference field="1" count="1" selected="0">
            <x v="7"/>
          </reference>
        </references>
      </pivotArea>
    </chartFormat>
    <chartFormat chart="48" format="8">
      <pivotArea type="data" outline="0" fieldPosition="0">
        <references count="2">
          <reference field="4294967294" count="1" selected="0">
            <x v="0"/>
          </reference>
          <reference field="1" count="1" selected="0">
            <x v="0"/>
          </reference>
        </references>
      </pivotArea>
    </chartFormat>
    <chartFormat chart="48" format="9">
      <pivotArea type="data" outline="0" fieldPosition="0">
        <references count="2">
          <reference field="4294967294" count="1" selected="0">
            <x v="0"/>
          </reference>
          <reference field="1" count="1" selected="0">
            <x v="1"/>
          </reference>
        </references>
      </pivotArea>
    </chartFormat>
    <chartFormat chart="48" format="10">
      <pivotArea type="data" outline="0" fieldPosition="0">
        <references count="2">
          <reference field="4294967294" count="1" selected="0">
            <x v="0"/>
          </reference>
          <reference field="1" count="1" selected="0">
            <x v="2"/>
          </reference>
        </references>
      </pivotArea>
    </chartFormat>
    <chartFormat chart="48" format="11">
      <pivotArea type="data" outline="0" fieldPosition="0">
        <references count="2">
          <reference field="4294967294" count="1" selected="0">
            <x v="0"/>
          </reference>
          <reference field="1" count="1" selected="0">
            <x v="3"/>
          </reference>
        </references>
      </pivotArea>
    </chartFormat>
    <chartFormat chart="48" format="12">
      <pivotArea type="data" outline="0" fieldPosition="0">
        <references count="2">
          <reference field="4294967294" count="1" selected="0">
            <x v="0"/>
          </reference>
          <reference field="1" count="1" selected="0">
            <x v="6"/>
          </reference>
        </references>
      </pivotArea>
    </chartFormat>
    <chartFormat chart="8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48F3A3-869F-45BD-920B-A7AFAC75BC0F}" name="PivotTable17"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69:B83" firstHeaderRow="1" firstDataRow="1" firstDataCol="1"/>
  <pivotFields count="6">
    <pivotField showAll="0"/>
    <pivotField axis="axisRow" showAll="0">
      <items count="14">
        <item x="8"/>
        <item x="10"/>
        <item x="9"/>
        <item x="4"/>
        <item x="1"/>
        <item x="11"/>
        <item x="7"/>
        <item x="5"/>
        <item x="0"/>
        <item x="3"/>
        <item x="2"/>
        <item x="12"/>
        <item x="6"/>
        <item t="default"/>
      </items>
    </pivotField>
    <pivotField numFmtId="165"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Total Amount (INR)" fld="3" baseField="0" baseItem="0" numFmtId="166"/>
  </dataFields>
  <chartFormats count="14">
    <chartFormat chart="36"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8" format="1">
      <pivotArea type="data" outline="0" fieldPosition="0">
        <references count="2">
          <reference field="4294967294" count="1" selected="0">
            <x v="0"/>
          </reference>
          <reference field="1" count="1" selected="0">
            <x v="12"/>
          </reference>
        </references>
      </pivotArea>
    </chartFormat>
    <chartFormat chart="48" format="2">
      <pivotArea type="data" outline="0" fieldPosition="0">
        <references count="2">
          <reference field="4294967294" count="1" selected="0">
            <x v="0"/>
          </reference>
          <reference field="1" count="1" selected="0">
            <x v="11"/>
          </reference>
        </references>
      </pivotArea>
    </chartFormat>
    <chartFormat chart="48" format="3">
      <pivotArea type="data" outline="0" fieldPosition="0">
        <references count="2">
          <reference field="4294967294" count="1" selected="0">
            <x v="0"/>
          </reference>
          <reference field="1" count="1" selected="0">
            <x v="10"/>
          </reference>
        </references>
      </pivotArea>
    </chartFormat>
    <chartFormat chart="48" format="4">
      <pivotArea type="data" outline="0" fieldPosition="0">
        <references count="2">
          <reference field="4294967294" count="1" selected="0">
            <x v="0"/>
          </reference>
          <reference field="1" count="1" selected="0">
            <x v="8"/>
          </reference>
        </references>
      </pivotArea>
    </chartFormat>
    <chartFormat chart="48" format="5">
      <pivotArea type="data" outline="0" fieldPosition="0">
        <references count="2">
          <reference field="4294967294" count="1" selected="0">
            <x v="0"/>
          </reference>
          <reference field="1" count="1" selected="0">
            <x v="4"/>
          </reference>
        </references>
      </pivotArea>
    </chartFormat>
    <chartFormat chart="48" format="6">
      <pivotArea type="data" outline="0" fieldPosition="0">
        <references count="2">
          <reference field="4294967294" count="1" selected="0">
            <x v="0"/>
          </reference>
          <reference field="1" count="1" selected="0">
            <x v="5"/>
          </reference>
        </references>
      </pivotArea>
    </chartFormat>
    <chartFormat chart="48" format="7">
      <pivotArea type="data" outline="0" fieldPosition="0">
        <references count="2">
          <reference field="4294967294" count="1" selected="0">
            <x v="0"/>
          </reference>
          <reference field="1" count="1" selected="0">
            <x v="7"/>
          </reference>
        </references>
      </pivotArea>
    </chartFormat>
    <chartFormat chart="48" format="8">
      <pivotArea type="data" outline="0" fieldPosition="0">
        <references count="2">
          <reference field="4294967294" count="1" selected="0">
            <x v="0"/>
          </reference>
          <reference field="1" count="1" selected="0">
            <x v="0"/>
          </reference>
        </references>
      </pivotArea>
    </chartFormat>
    <chartFormat chart="48" format="9">
      <pivotArea type="data" outline="0" fieldPosition="0">
        <references count="2">
          <reference field="4294967294" count="1" selected="0">
            <x v="0"/>
          </reference>
          <reference field="1" count="1" selected="0">
            <x v="1"/>
          </reference>
        </references>
      </pivotArea>
    </chartFormat>
    <chartFormat chart="48" format="10">
      <pivotArea type="data" outline="0" fieldPosition="0">
        <references count="2">
          <reference field="4294967294" count="1" selected="0">
            <x v="0"/>
          </reference>
          <reference field="1" count="1" selected="0">
            <x v="2"/>
          </reference>
        </references>
      </pivotArea>
    </chartFormat>
    <chartFormat chart="48" format="11">
      <pivotArea type="data" outline="0" fieldPosition="0">
        <references count="2">
          <reference field="4294967294" count="1" selected="0">
            <x v="0"/>
          </reference>
          <reference field="1" count="1" selected="0">
            <x v="3"/>
          </reference>
        </references>
      </pivotArea>
    </chartFormat>
    <chartFormat chart="48" format="1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76733-E97E-44DA-AEC4-789D94D1AEB6}" name="PivotTable1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47:B61" firstHeaderRow="1" firstDataRow="1" firstDataCol="1"/>
  <pivotFields count="6">
    <pivotField showAll="0"/>
    <pivotField axis="axisRow" showAll="0">
      <items count="14">
        <item x="8"/>
        <item x="10"/>
        <item x="9"/>
        <item x="4"/>
        <item x="1"/>
        <item x="11"/>
        <item x="7"/>
        <item x="5"/>
        <item x="0"/>
        <item x="3"/>
        <item x="2"/>
        <item x="12"/>
        <item x="6"/>
        <item t="default"/>
      </items>
    </pivotField>
    <pivotField numFmtId="165"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Total Amount (INR)" fld="3" baseField="0" baseItem="0" numFmtId="166"/>
  </dataFields>
  <chartFormats count="1">
    <chartFormat chart="3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4454C-8C73-4441-AA77-ACE35109C668}" name="PivotTable14"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6:B40" firstHeaderRow="1" firstDataRow="1" firstDataCol="1"/>
  <pivotFields count="6">
    <pivotField showAll="0"/>
    <pivotField axis="axisRow" showAll="0">
      <items count="14">
        <item x="8"/>
        <item x="10"/>
        <item x="9"/>
        <item x="4"/>
        <item x="1"/>
        <item x="11"/>
        <item x="7"/>
        <item x="5"/>
        <item x="0"/>
        <item x="3"/>
        <item x="2"/>
        <item x="12"/>
        <item x="6"/>
        <item t="default"/>
      </items>
    </pivotField>
    <pivotField numFmtId="165"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Total Amount (INR)" fld="3" baseField="0" baseItem="0" numFmtId="166"/>
  </dataFields>
  <chartFormats count="1">
    <chartFormat chart="3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74BB56-1E13-495F-A175-096663550B1A}" name="PivotTable1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9" firstHeaderRow="1" firstDataRow="1" firstDataCol="1"/>
  <pivotFields count="6">
    <pivotField showAll="0"/>
    <pivotField axis="axisRow" showAll="0">
      <items count="14">
        <item x="8"/>
        <item x="10"/>
        <item x="9"/>
        <item x="4"/>
        <item x="1"/>
        <item x="11"/>
        <item x="7"/>
        <item x="5"/>
        <item x="0"/>
        <item x="3"/>
        <item x="2"/>
        <item x="12"/>
        <item x="6"/>
        <item t="default"/>
      </items>
    </pivotField>
    <pivotField numFmtId="165"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Total Amount (INR)"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DB7EC9E-E118-41F2-AE8D-41FB379EA386}" sourceName="Months (Order Date)">
  <pivotTables>
    <pivotTable tabId="3" name="PivotTable15"/>
    <pivotTable tabId="3" name="PivotTable17"/>
    <pivotTable tabId="3" name="PivotTable18"/>
  </pivotTables>
  <data>
    <tabular pivotCacheId="56592682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B1CD2D34-F214-46B5-A6E8-48E73E741012}" cache="Slicer_Months__Order_Date" caption="Months (Order Date)" rowHeight="23029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workbookViewId="0">
      <pane ySplit="1" topLeftCell="A2" activePane="bottomLeft" state="frozen"/>
      <selection pane="bottomLeft" activeCell="E2" sqref="E2:E51"/>
    </sheetView>
  </sheetViews>
  <sheetFormatPr defaultRowHeight="14.3" x14ac:dyDescent="0.25"/>
  <cols>
    <col min="1" max="1" width="18" customWidth="1"/>
    <col min="2" max="2" width="24.5703125" customWidth="1"/>
    <col min="3" max="3" width="22.85546875" customWidth="1"/>
    <col min="4" max="4" width="25.140625" customWidth="1"/>
  </cols>
  <sheetData>
    <row r="1" spans="1:5" x14ac:dyDescent="0.25">
      <c r="A1" s="2" t="s">
        <v>0</v>
      </c>
      <c r="B1" s="2" t="s">
        <v>1</v>
      </c>
      <c r="C1" s="2" t="s">
        <v>2</v>
      </c>
      <c r="D1" s="2" t="s">
        <v>3</v>
      </c>
      <c r="E1" s="10" t="s">
        <v>76</v>
      </c>
    </row>
    <row r="2" spans="1:5" x14ac:dyDescent="0.25">
      <c r="A2" s="3" t="s">
        <v>4</v>
      </c>
      <c r="B2" s="3" t="s">
        <v>5</v>
      </c>
      <c r="C2" s="4">
        <v>45658</v>
      </c>
      <c r="D2" s="5">
        <v>1027</v>
      </c>
      <c r="E2" t="str">
        <f>TEXT(C2,"mmm")</f>
        <v>Jan</v>
      </c>
    </row>
    <row r="3" spans="1:5" x14ac:dyDescent="0.25">
      <c r="A3" s="3" t="s">
        <v>6</v>
      </c>
      <c r="B3" s="3" t="s">
        <v>7</v>
      </c>
      <c r="C3" s="4">
        <v>45664</v>
      </c>
      <c r="D3" s="5">
        <v>890</v>
      </c>
      <c r="E3" t="str">
        <f t="shared" ref="E3:E51" si="0">TEXT(C3,"mmm")</f>
        <v>Jan</v>
      </c>
    </row>
    <row r="4" spans="1:5" x14ac:dyDescent="0.25">
      <c r="A4" s="3" t="s">
        <v>8</v>
      </c>
      <c r="B4" s="3" t="s">
        <v>9</v>
      </c>
      <c r="C4" s="4">
        <v>45668</v>
      </c>
      <c r="D4" s="5">
        <v>1536</v>
      </c>
      <c r="E4" t="str">
        <f t="shared" si="0"/>
        <v>Jan</v>
      </c>
    </row>
    <row r="5" spans="1:5" x14ac:dyDescent="0.25">
      <c r="A5" s="3" t="s">
        <v>10</v>
      </c>
      <c r="B5" s="3" t="s">
        <v>9</v>
      </c>
      <c r="C5" s="4">
        <v>45681</v>
      </c>
      <c r="D5" s="5">
        <v>1419</v>
      </c>
      <c r="E5" t="str">
        <f t="shared" si="0"/>
        <v>Jan</v>
      </c>
    </row>
    <row r="6" spans="1:5" x14ac:dyDescent="0.25">
      <c r="A6" s="3" t="s">
        <v>11</v>
      </c>
      <c r="B6" s="3" t="s">
        <v>12</v>
      </c>
      <c r="C6" s="4">
        <v>45683</v>
      </c>
      <c r="D6" s="5">
        <v>440</v>
      </c>
      <c r="E6" t="str">
        <f t="shared" si="0"/>
        <v>Jan</v>
      </c>
    </row>
    <row r="7" spans="1:5" x14ac:dyDescent="0.25">
      <c r="A7" s="3" t="s">
        <v>13</v>
      </c>
      <c r="B7" s="3" t="s">
        <v>5</v>
      </c>
      <c r="C7" s="4">
        <v>45696</v>
      </c>
      <c r="D7" s="5">
        <v>1216</v>
      </c>
      <c r="E7" t="str">
        <f t="shared" si="0"/>
        <v>Feb</v>
      </c>
    </row>
    <row r="8" spans="1:5" x14ac:dyDescent="0.25">
      <c r="A8" s="3" t="s">
        <v>14</v>
      </c>
      <c r="B8" s="3" t="s">
        <v>5</v>
      </c>
      <c r="C8" s="4">
        <v>45700</v>
      </c>
      <c r="D8" s="5">
        <v>219</v>
      </c>
      <c r="E8" t="str">
        <f t="shared" si="0"/>
        <v>Feb</v>
      </c>
    </row>
    <row r="9" spans="1:5" x14ac:dyDescent="0.25">
      <c r="A9" s="3" t="s">
        <v>15</v>
      </c>
      <c r="B9" s="3" t="s">
        <v>16</v>
      </c>
      <c r="C9" s="4">
        <v>45702</v>
      </c>
      <c r="D9" s="5">
        <v>1167</v>
      </c>
      <c r="E9" t="str">
        <f t="shared" si="0"/>
        <v>Feb</v>
      </c>
    </row>
    <row r="10" spans="1:5" x14ac:dyDescent="0.25">
      <c r="A10" s="3" t="s">
        <v>17</v>
      </c>
      <c r="B10" s="3" t="s">
        <v>12</v>
      </c>
      <c r="C10" s="4">
        <v>45725</v>
      </c>
      <c r="D10" s="5">
        <v>636</v>
      </c>
      <c r="E10" t="str">
        <f t="shared" si="0"/>
        <v>Mar</v>
      </c>
    </row>
    <row r="11" spans="1:5" x14ac:dyDescent="0.25">
      <c r="A11" s="3" t="s">
        <v>18</v>
      </c>
      <c r="B11" s="3" t="s">
        <v>7</v>
      </c>
      <c r="C11" s="4">
        <v>45726</v>
      </c>
      <c r="D11" s="5">
        <v>640</v>
      </c>
      <c r="E11" t="str">
        <f t="shared" si="0"/>
        <v>Mar</v>
      </c>
    </row>
    <row r="12" spans="1:5" x14ac:dyDescent="0.25">
      <c r="A12" s="3" t="s">
        <v>19</v>
      </c>
      <c r="B12" s="3" t="s">
        <v>16</v>
      </c>
      <c r="C12" s="4">
        <v>45729</v>
      </c>
      <c r="D12" s="5">
        <v>229</v>
      </c>
      <c r="E12" t="str">
        <f t="shared" si="0"/>
        <v>Mar</v>
      </c>
    </row>
    <row r="13" spans="1:5" x14ac:dyDescent="0.25">
      <c r="A13" s="3" t="s">
        <v>20</v>
      </c>
      <c r="B13" s="3" t="s">
        <v>5</v>
      </c>
      <c r="C13" s="4">
        <v>45730</v>
      </c>
      <c r="D13" s="5">
        <v>1153</v>
      </c>
      <c r="E13" t="str">
        <f t="shared" si="0"/>
        <v>Mar</v>
      </c>
    </row>
    <row r="14" spans="1:5" x14ac:dyDescent="0.25">
      <c r="A14" s="3" t="s">
        <v>21</v>
      </c>
      <c r="B14" s="3" t="s">
        <v>22</v>
      </c>
      <c r="C14" s="4">
        <v>45730</v>
      </c>
      <c r="D14" s="5">
        <v>677</v>
      </c>
      <c r="E14" t="str">
        <f t="shared" si="0"/>
        <v>Mar</v>
      </c>
    </row>
    <row r="15" spans="1:5" x14ac:dyDescent="0.25">
      <c r="A15" s="3" t="s">
        <v>23</v>
      </c>
      <c r="B15" s="3" t="s">
        <v>24</v>
      </c>
      <c r="C15" s="4">
        <v>45733</v>
      </c>
      <c r="D15" s="5">
        <v>746</v>
      </c>
      <c r="E15" t="str">
        <f t="shared" si="0"/>
        <v>Mar</v>
      </c>
    </row>
    <row r="16" spans="1:5" x14ac:dyDescent="0.25">
      <c r="A16" s="3" t="s">
        <v>25</v>
      </c>
      <c r="B16" s="3" t="s">
        <v>5</v>
      </c>
      <c r="C16" s="4">
        <v>45750</v>
      </c>
      <c r="D16" s="5">
        <v>1209</v>
      </c>
      <c r="E16" t="str">
        <f t="shared" si="0"/>
        <v>Apr</v>
      </c>
    </row>
    <row r="17" spans="1:5" x14ac:dyDescent="0.25">
      <c r="A17" s="3" t="s">
        <v>26</v>
      </c>
      <c r="B17" s="3" t="s">
        <v>12</v>
      </c>
      <c r="C17" s="4">
        <v>45761</v>
      </c>
      <c r="D17" s="5">
        <v>1770</v>
      </c>
      <c r="E17" t="str">
        <f t="shared" si="0"/>
        <v>Apr</v>
      </c>
    </row>
    <row r="18" spans="1:5" x14ac:dyDescent="0.25">
      <c r="A18" s="3" t="s">
        <v>27</v>
      </c>
      <c r="B18" s="3" t="s">
        <v>28</v>
      </c>
      <c r="C18" s="4">
        <v>45770</v>
      </c>
      <c r="D18" s="5">
        <v>1181</v>
      </c>
      <c r="E18" t="str">
        <f t="shared" si="0"/>
        <v>Apr</v>
      </c>
    </row>
    <row r="19" spans="1:5" x14ac:dyDescent="0.25">
      <c r="A19" s="3" t="s">
        <v>29</v>
      </c>
      <c r="B19" s="3" t="s">
        <v>30</v>
      </c>
      <c r="C19" s="4">
        <v>45795</v>
      </c>
      <c r="D19" s="5">
        <v>1692</v>
      </c>
      <c r="E19" t="str">
        <f t="shared" si="0"/>
        <v>May</v>
      </c>
    </row>
    <row r="20" spans="1:5" x14ac:dyDescent="0.25">
      <c r="A20" s="3" t="s">
        <v>31</v>
      </c>
      <c r="B20" s="3" t="s">
        <v>22</v>
      </c>
      <c r="C20" s="4">
        <v>45810</v>
      </c>
      <c r="D20" s="5">
        <v>280</v>
      </c>
      <c r="E20" t="str">
        <f t="shared" si="0"/>
        <v>Jun</v>
      </c>
    </row>
    <row r="21" spans="1:5" x14ac:dyDescent="0.25">
      <c r="A21" s="3" t="s">
        <v>32</v>
      </c>
      <c r="B21" s="3" t="s">
        <v>24</v>
      </c>
      <c r="C21" s="4">
        <v>45825</v>
      </c>
      <c r="D21" s="5">
        <v>1617</v>
      </c>
      <c r="E21" t="str">
        <f t="shared" si="0"/>
        <v>Jun</v>
      </c>
    </row>
    <row r="22" spans="1:5" x14ac:dyDescent="0.25">
      <c r="A22" s="3" t="s">
        <v>33</v>
      </c>
      <c r="B22" s="3" t="s">
        <v>34</v>
      </c>
      <c r="C22" s="4">
        <v>45833</v>
      </c>
      <c r="D22" s="5">
        <v>1007</v>
      </c>
      <c r="E22" t="str">
        <f t="shared" si="0"/>
        <v>Jun</v>
      </c>
    </row>
    <row r="23" spans="1:5" x14ac:dyDescent="0.25">
      <c r="A23" s="3" t="s">
        <v>35</v>
      </c>
      <c r="B23" s="3" t="s">
        <v>7</v>
      </c>
      <c r="C23" s="4">
        <v>45841</v>
      </c>
      <c r="D23" s="5">
        <v>1384</v>
      </c>
      <c r="E23" t="str">
        <f t="shared" si="0"/>
        <v>Jul</v>
      </c>
    </row>
    <row r="24" spans="1:5" x14ac:dyDescent="0.25">
      <c r="A24" s="3" t="s">
        <v>36</v>
      </c>
      <c r="B24" s="3" t="s">
        <v>37</v>
      </c>
      <c r="C24" s="4">
        <v>45843</v>
      </c>
      <c r="D24" s="5">
        <v>1187</v>
      </c>
      <c r="E24" t="str">
        <f t="shared" si="0"/>
        <v>Jul</v>
      </c>
    </row>
    <row r="25" spans="1:5" x14ac:dyDescent="0.25">
      <c r="A25" s="3" t="s">
        <v>38</v>
      </c>
      <c r="B25" s="3" t="s">
        <v>28</v>
      </c>
      <c r="C25" s="4">
        <v>45847</v>
      </c>
      <c r="D25" s="5">
        <v>209</v>
      </c>
      <c r="E25" t="str">
        <f t="shared" si="0"/>
        <v>Jul</v>
      </c>
    </row>
    <row r="26" spans="1:5" x14ac:dyDescent="0.25">
      <c r="A26" s="3" t="s">
        <v>39</v>
      </c>
      <c r="B26" s="3" t="s">
        <v>40</v>
      </c>
      <c r="C26" s="4">
        <v>45849</v>
      </c>
      <c r="D26" s="5">
        <v>827</v>
      </c>
      <c r="E26" t="str">
        <f t="shared" si="0"/>
        <v>Jul</v>
      </c>
    </row>
    <row r="27" spans="1:5" x14ac:dyDescent="0.25">
      <c r="A27" s="3" t="s">
        <v>41</v>
      </c>
      <c r="B27" s="3" t="s">
        <v>40</v>
      </c>
      <c r="C27" s="4">
        <v>45850</v>
      </c>
      <c r="D27" s="5">
        <v>1438</v>
      </c>
      <c r="E27" t="str">
        <f t="shared" si="0"/>
        <v>Jul</v>
      </c>
    </row>
    <row r="28" spans="1:5" x14ac:dyDescent="0.25">
      <c r="A28" s="3" t="s">
        <v>42</v>
      </c>
      <c r="B28" s="3" t="s">
        <v>43</v>
      </c>
      <c r="C28" s="4">
        <v>45853</v>
      </c>
      <c r="D28" s="5">
        <v>286</v>
      </c>
      <c r="E28" t="str">
        <f t="shared" si="0"/>
        <v>Jul</v>
      </c>
    </row>
    <row r="29" spans="1:5" x14ac:dyDescent="0.25">
      <c r="A29" s="3" t="s">
        <v>44</v>
      </c>
      <c r="B29" s="3" t="s">
        <v>22</v>
      </c>
      <c r="C29" s="4">
        <v>45854</v>
      </c>
      <c r="D29" s="5">
        <v>215</v>
      </c>
      <c r="E29" t="str">
        <f t="shared" si="0"/>
        <v>Jul</v>
      </c>
    </row>
    <row r="30" spans="1:5" x14ac:dyDescent="0.25">
      <c r="A30" s="3" t="s">
        <v>45</v>
      </c>
      <c r="B30" s="3" t="s">
        <v>12</v>
      </c>
      <c r="C30" s="4">
        <v>45859</v>
      </c>
      <c r="D30" s="5">
        <v>906</v>
      </c>
      <c r="E30" t="str">
        <f t="shared" si="0"/>
        <v>Jul</v>
      </c>
    </row>
    <row r="31" spans="1:5" x14ac:dyDescent="0.25">
      <c r="A31" s="3" t="s">
        <v>46</v>
      </c>
      <c r="B31" s="3" t="s">
        <v>43</v>
      </c>
      <c r="C31" s="4">
        <v>45869</v>
      </c>
      <c r="D31" s="5">
        <v>1678</v>
      </c>
      <c r="E31" t="str">
        <f t="shared" si="0"/>
        <v>Jul</v>
      </c>
    </row>
    <row r="32" spans="1:5" x14ac:dyDescent="0.25">
      <c r="A32" s="3" t="s">
        <v>47</v>
      </c>
      <c r="B32" s="3" t="s">
        <v>24</v>
      </c>
      <c r="C32" s="4">
        <v>45876</v>
      </c>
      <c r="D32" s="5">
        <v>1335</v>
      </c>
      <c r="E32" t="str">
        <f t="shared" si="0"/>
        <v>Aug</v>
      </c>
    </row>
    <row r="33" spans="1:5" x14ac:dyDescent="0.25">
      <c r="A33" s="3" t="s">
        <v>48</v>
      </c>
      <c r="B33" s="3" t="s">
        <v>37</v>
      </c>
      <c r="C33" s="4">
        <v>45891</v>
      </c>
      <c r="D33" s="5">
        <v>1180</v>
      </c>
      <c r="E33" t="str">
        <f t="shared" si="0"/>
        <v>Aug</v>
      </c>
    </row>
    <row r="34" spans="1:5" x14ac:dyDescent="0.25">
      <c r="A34" s="3" t="s">
        <v>49</v>
      </c>
      <c r="B34" s="3" t="s">
        <v>5</v>
      </c>
      <c r="C34" s="4">
        <v>45908</v>
      </c>
      <c r="D34" s="5">
        <v>553</v>
      </c>
      <c r="E34" t="str">
        <f t="shared" si="0"/>
        <v>Sep</v>
      </c>
    </row>
    <row r="35" spans="1:5" x14ac:dyDescent="0.25">
      <c r="A35" s="3" t="s">
        <v>50</v>
      </c>
      <c r="B35" s="3" t="s">
        <v>5</v>
      </c>
      <c r="C35" s="4">
        <v>45909</v>
      </c>
      <c r="D35" s="5">
        <v>349</v>
      </c>
      <c r="E35" t="str">
        <f t="shared" si="0"/>
        <v>Sep</v>
      </c>
    </row>
    <row r="36" spans="1:5" x14ac:dyDescent="0.25">
      <c r="A36" s="3" t="s">
        <v>51</v>
      </c>
      <c r="B36" s="3" t="s">
        <v>16</v>
      </c>
      <c r="C36" s="4">
        <v>45910</v>
      </c>
      <c r="D36" s="5">
        <v>1027</v>
      </c>
      <c r="E36" t="str">
        <f t="shared" si="0"/>
        <v>Sep</v>
      </c>
    </row>
    <row r="37" spans="1:5" x14ac:dyDescent="0.25">
      <c r="A37" s="3" t="s">
        <v>52</v>
      </c>
      <c r="B37" s="3" t="s">
        <v>40</v>
      </c>
      <c r="C37" s="4">
        <v>45915</v>
      </c>
      <c r="D37" s="5">
        <v>666</v>
      </c>
      <c r="E37" t="str">
        <f t="shared" si="0"/>
        <v>Sep</v>
      </c>
    </row>
    <row r="38" spans="1:5" x14ac:dyDescent="0.25">
      <c r="A38" s="3" t="s">
        <v>53</v>
      </c>
      <c r="B38" s="3" t="s">
        <v>24</v>
      </c>
      <c r="C38" s="4">
        <v>45918</v>
      </c>
      <c r="D38" s="5">
        <v>826</v>
      </c>
      <c r="E38" t="str">
        <f t="shared" si="0"/>
        <v>Sep</v>
      </c>
    </row>
    <row r="39" spans="1:5" x14ac:dyDescent="0.25">
      <c r="A39" s="3" t="s">
        <v>54</v>
      </c>
      <c r="B39" s="3" t="s">
        <v>24</v>
      </c>
      <c r="C39" s="4">
        <v>45933</v>
      </c>
      <c r="D39" s="5">
        <v>224</v>
      </c>
      <c r="E39" t="str">
        <f t="shared" si="0"/>
        <v>Oct</v>
      </c>
    </row>
    <row r="40" spans="1:5" x14ac:dyDescent="0.25">
      <c r="A40" s="3" t="s">
        <v>55</v>
      </c>
      <c r="B40" s="3" t="s">
        <v>43</v>
      </c>
      <c r="C40" s="4">
        <v>45937</v>
      </c>
      <c r="D40" s="5">
        <v>1642</v>
      </c>
      <c r="E40" t="str">
        <f t="shared" si="0"/>
        <v>Oct</v>
      </c>
    </row>
    <row r="41" spans="1:5" x14ac:dyDescent="0.25">
      <c r="A41" s="3" t="s">
        <v>56</v>
      </c>
      <c r="B41" s="3" t="s">
        <v>28</v>
      </c>
      <c r="C41" s="4">
        <v>45948</v>
      </c>
      <c r="D41" s="5">
        <v>462</v>
      </c>
      <c r="E41" t="str">
        <f t="shared" si="0"/>
        <v>Oct</v>
      </c>
    </row>
    <row r="42" spans="1:5" x14ac:dyDescent="0.25">
      <c r="A42" s="3" t="s">
        <v>57</v>
      </c>
      <c r="B42" s="3" t="s">
        <v>43</v>
      </c>
      <c r="C42" s="4">
        <v>45949</v>
      </c>
      <c r="D42" s="5">
        <v>1168</v>
      </c>
      <c r="E42" t="str">
        <f t="shared" si="0"/>
        <v>Oct</v>
      </c>
    </row>
    <row r="43" spans="1:5" x14ac:dyDescent="0.25">
      <c r="A43" s="3" t="s">
        <v>58</v>
      </c>
      <c r="B43" s="3" t="s">
        <v>9</v>
      </c>
      <c r="C43" s="4">
        <v>45969</v>
      </c>
      <c r="D43" s="5">
        <v>858</v>
      </c>
      <c r="E43" t="str">
        <f t="shared" si="0"/>
        <v>Nov</v>
      </c>
    </row>
    <row r="44" spans="1:5" x14ac:dyDescent="0.25">
      <c r="A44" s="3" t="s">
        <v>59</v>
      </c>
      <c r="B44" s="3" t="s">
        <v>37</v>
      </c>
      <c r="C44" s="4">
        <v>45970</v>
      </c>
      <c r="D44" s="5">
        <v>370</v>
      </c>
      <c r="E44" t="str">
        <f t="shared" si="0"/>
        <v>Nov</v>
      </c>
    </row>
    <row r="45" spans="1:5" x14ac:dyDescent="0.25">
      <c r="A45" s="3" t="s">
        <v>60</v>
      </c>
      <c r="B45" s="3" t="s">
        <v>40</v>
      </c>
      <c r="C45" s="4">
        <v>45970</v>
      </c>
      <c r="D45" s="5">
        <v>377</v>
      </c>
      <c r="E45" t="str">
        <f t="shared" si="0"/>
        <v>Nov</v>
      </c>
    </row>
    <row r="46" spans="1:5" x14ac:dyDescent="0.25">
      <c r="A46" s="3" t="s">
        <v>61</v>
      </c>
      <c r="B46" s="3" t="s">
        <v>37</v>
      </c>
      <c r="C46" s="4">
        <v>45983</v>
      </c>
      <c r="D46" s="5">
        <v>675</v>
      </c>
      <c r="E46" t="str">
        <f t="shared" si="0"/>
        <v>Nov</v>
      </c>
    </row>
    <row r="47" spans="1:5" x14ac:dyDescent="0.25">
      <c r="A47" s="3" t="s">
        <v>62</v>
      </c>
      <c r="B47" s="3" t="s">
        <v>24</v>
      </c>
      <c r="C47" s="4">
        <v>45997</v>
      </c>
      <c r="D47" s="5">
        <v>1553</v>
      </c>
      <c r="E47" t="str">
        <f t="shared" si="0"/>
        <v>Dec</v>
      </c>
    </row>
    <row r="48" spans="1:5" x14ac:dyDescent="0.25">
      <c r="A48" s="3" t="s">
        <v>63</v>
      </c>
      <c r="B48" s="3" t="s">
        <v>34</v>
      </c>
      <c r="C48" s="4">
        <v>46001</v>
      </c>
      <c r="D48" s="5">
        <v>623</v>
      </c>
      <c r="E48" t="str">
        <f t="shared" si="0"/>
        <v>Dec</v>
      </c>
    </row>
    <row r="49" spans="1:5" x14ac:dyDescent="0.25">
      <c r="A49" s="3" t="s">
        <v>64</v>
      </c>
      <c r="B49" s="3" t="s">
        <v>7</v>
      </c>
      <c r="C49" s="4">
        <v>46003</v>
      </c>
      <c r="D49" s="5">
        <v>614</v>
      </c>
      <c r="E49" t="str">
        <f t="shared" si="0"/>
        <v>Dec</v>
      </c>
    </row>
    <row r="50" spans="1:5" x14ac:dyDescent="0.25">
      <c r="A50" s="3" t="s">
        <v>65</v>
      </c>
      <c r="B50" s="3" t="s">
        <v>34</v>
      </c>
      <c r="C50" s="4">
        <v>46006</v>
      </c>
      <c r="D50" s="5">
        <v>1759</v>
      </c>
      <c r="E50" t="str">
        <f t="shared" si="0"/>
        <v>Dec</v>
      </c>
    </row>
    <row r="51" spans="1:5" x14ac:dyDescent="0.25">
      <c r="A51" s="3" t="s">
        <v>66</v>
      </c>
      <c r="B51" s="3" t="s">
        <v>43</v>
      </c>
      <c r="C51" s="4">
        <v>46007</v>
      </c>
      <c r="D51" s="5">
        <v>709</v>
      </c>
      <c r="E51" t="str">
        <f t="shared" si="0"/>
        <v>Dec</v>
      </c>
    </row>
  </sheetData>
  <autoFilter ref="A1:D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94365-5FC8-492C-B9B6-59E5F1ECB512}">
  <dimension ref="A2:B98"/>
  <sheetViews>
    <sheetView tabSelected="1" topLeftCell="A82" workbookViewId="0">
      <selection activeCell="N105" sqref="N105"/>
    </sheetView>
  </sheetViews>
  <sheetFormatPr defaultRowHeight="14.3" x14ac:dyDescent="0.25"/>
  <cols>
    <col min="1" max="1" width="14.42578125" bestFit="1" customWidth="1"/>
    <col min="2" max="2" width="25" bestFit="1" customWidth="1"/>
  </cols>
  <sheetData>
    <row r="2" spans="1:2" x14ac:dyDescent="0.25">
      <c r="A2" s="8" t="s">
        <v>70</v>
      </c>
      <c r="B2" s="9" t="s">
        <v>71</v>
      </c>
    </row>
    <row r="5" spans="1:2" x14ac:dyDescent="0.25">
      <c r="A5" s="6" t="s">
        <v>68</v>
      </c>
      <c r="B5" t="s">
        <v>67</v>
      </c>
    </row>
    <row r="6" spans="1:2" x14ac:dyDescent="0.25">
      <c r="A6" s="7" t="s">
        <v>30</v>
      </c>
      <c r="B6" s="1">
        <v>1692</v>
      </c>
    </row>
    <row r="7" spans="1:2" x14ac:dyDescent="0.25">
      <c r="A7" s="7" t="s">
        <v>37</v>
      </c>
      <c r="B7" s="1">
        <v>3412</v>
      </c>
    </row>
    <row r="8" spans="1:2" x14ac:dyDescent="0.25">
      <c r="A8" s="7" t="s">
        <v>34</v>
      </c>
      <c r="B8" s="1">
        <v>3389</v>
      </c>
    </row>
    <row r="9" spans="1:2" x14ac:dyDescent="0.25">
      <c r="A9" s="7" t="s">
        <v>16</v>
      </c>
      <c r="B9" s="1">
        <v>2423</v>
      </c>
    </row>
    <row r="10" spans="1:2" x14ac:dyDescent="0.25">
      <c r="A10" s="7" t="s">
        <v>7</v>
      </c>
      <c r="B10" s="1">
        <v>3528</v>
      </c>
    </row>
    <row r="11" spans="1:2" x14ac:dyDescent="0.25">
      <c r="A11" s="7" t="s">
        <v>40</v>
      </c>
      <c r="B11" s="1">
        <v>3308</v>
      </c>
    </row>
    <row r="12" spans="1:2" x14ac:dyDescent="0.25">
      <c r="A12" s="7" t="s">
        <v>28</v>
      </c>
      <c r="B12" s="1">
        <v>1852</v>
      </c>
    </row>
    <row r="13" spans="1:2" x14ac:dyDescent="0.25">
      <c r="A13" s="7" t="s">
        <v>22</v>
      </c>
      <c r="B13" s="1">
        <v>1172</v>
      </c>
    </row>
    <row r="14" spans="1:2" x14ac:dyDescent="0.25">
      <c r="A14" s="7" t="s">
        <v>5</v>
      </c>
      <c r="B14" s="1">
        <v>5726</v>
      </c>
    </row>
    <row r="15" spans="1:2" x14ac:dyDescent="0.25">
      <c r="A15" s="7" t="s">
        <v>12</v>
      </c>
      <c r="B15" s="1">
        <v>3752</v>
      </c>
    </row>
    <row r="16" spans="1:2" x14ac:dyDescent="0.25">
      <c r="A16" s="7" t="s">
        <v>9</v>
      </c>
      <c r="B16" s="1">
        <v>3813</v>
      </c>
    </row>
    <row r="17" spans="1:2" x14ac:dyDescent="0.25">
      <c r="A17" s="7" t="s">
        <v>43</v>
      </c>
      <c r="B17" s="1">
        <v>5483</v>
      </c>
    </row>
    <row r="18" spans="1:2" x14ac:dyDescent="0.25">
      <c r="A18" s="7" t="s">
        <v>24</v>
      </c>
      <c r="B18" s="1">
        <v>6301</v>
      </c>
    </row>
    <row r="19" spans="1:2" x14ac:dyDescent="0.25">
      <c r="A19" s="7" t="s">
        <v>69</v>
      </c>
      <c r="B19" s="1">
        <v>45851</v>
      </c>
    </row>
    <row r="23" spans="1:2" x14ac:dyDescent="0.25">
      <c r="A23" s="8" t="s">
        <v>72</v>
      </c>
      <c r="B23" s="9" t="s">
        <v>73</v>
      </c>
    </row>
    <row r="26" spans="1:2" x14ac:dyDescent="0.25">
      <c r="A26" s="6" t="s">
        <v>68</v>
      </c>
      <c r="B26" t="s">
        <v>67</v>
      </c>
    </row>
    <row r="27" spans="1:2" x14ac:dyDescent="0.25">
      <c r="A27" s="7" t="s">
        <v>30</v>
      </c>
      <c r="B27" s="1">
        <v>1692</v>
      </c>
    </row>
    <row r="28" spans="1:2" x14ac:dyDescent="0.25">
      <c r="A28" s="7" t="s">
        <v>37</v>
      </c>
      <c r="B28" s="1">
        <v>3412</v>
      </c>
    </row>
    <row r="29" spans="1:2" x14ac:dyDescent="0.25">
      <c r="A29" s="7" t="s">
        <v>34</v>
      </c>
      <c r="B29" s="1">
        <v>3389</v>
      </c>
    </row>
    <row r="30" spans="1:2" x14ac:dyDescent="0.25">
      <c r="A30" s="7" t="s">
        <v>16</v>
      </c>
      <c r="B30" s="1">
        <v>2423</v>
      </c>
    </row>
    <row r="31" spans="1:2" x14ac:dyDescent="0.25">
      <c r="A31" s="7" t="s">
        <v>7</v>
      </c>
      <c r="B31" s="1">
        <v>3528</v>
      </c>
    </row>
    <row r="32" spans="1:2" x14ac:dyDescent="0.25">
      <c r="A32" s="7" t="s">
        <v>40</v>
      </c>
      <c r="B32" s="1">
        <v>3308</v>
      </c>
    </row>
    <row r="33" spans="1:2" x14ac:dyDescent="0.25">
      <c r="A33" s="7" t="s">
        <v>28</v>
      </c>
      <c r="B33" s="1">
        <v>1852</v>
      </c>
    </row>
    <row r="34" spans="1:2" x14ac:dyDescent="0.25">
      <c r="A34" s="7" t="s">
        <v>22</v>
      </c>
      <c r="B34" s="1">
        <v>1172</v>
      </c>
    </row>
    <row r="35" spans="1:2" x14ac:dyDescent="0.25">
      <c r="A35" s="7" t="s">
        <v>5</v>
      </c>
      <c r="B35" s="1">
        <v>5726</v>
      </c>
    </row>
    <row r="36" spans="1:2" x14ac:dyDescent="0.25">
      <c r="A36" s="7" t="s">
        <v>12</v>
      </c>
      <c r="B36" s="1">
        <v>3752</v>
      </c>
    </row>
    <row r="37" spans="1:2" x14ac:dyDescent="0.25">
      <c r="A37" s="7" t="s">
        <v>9</v>
      </c>
      <c r="B37" s="1">
        <v>3813</v>
      </c>
    </row>
    <row r="38" spans="1:2" x14ac:dyDescent="0.25">
      <c r="A38" s="7" t="s">
        <v>43</v>
      </c>
      <c r="B38" s="1">
        <v>5483</v>
      </c>
    </row>
    <row r="39" spans="1:2" x14ac:dyDescent="0.25">
      <c r="A39" s="7" t="s">
        <v>24</v>
      </c>
      <c r="B39" s="1">
        <v>6301</v>
      </c>
    </row>
    <row r="40" spans="1:2" x14ac:dyDescent="0.25">
      <c r="A40" s="7" t="s">
        <v>69</v>
      </c>
      <c r="B40" s="1">
        <v>45851</v>
      </c>
    </row>
    <row r="44" spans="1:2" x14ac:dyDescent="0.25">
      <c r="A44" s="8" t="s">
        <v>75</v>
      </c>
      <c r="B44" s="9" t="s">
        <v>74</v>
      </c>
    </row>
    <row r="47" spans="1:2" x14ac:dyDescent="0.25">
      <c r="A47" s="6" t="s">
        <v>68</v>
      </c>
      <c r="B47" t="s">
        <v>67</v>
      </c>
    </row>
    <row r="48" spans="1:2" x14ac:dyDescent="0.25">
      <c r="A48" s="7" t="s">
        <v>30</v>
      </c>
      <c r="B48" s="1">
        <v>1692</v>
      </c>
    </row>
    <row r="49" spans="1:2" x14ac:dyDescent="0.25">
      <c r="A49" s="7" t="s">
        <v>37</v>
      </c>
      <c r="B49" s="1">
        <v>3412</v>
      </c>
    </row>
    <row r="50" spans="1:2" x14ac:dyDescent="0.25">
      <c r="A50" s="7" t="s">
        <v>34</v>
      </c>
      <c r="B50" s="1">
        <v>3389</v>
      </c>
    </row>
    <row r="51" spans="1:2" x14ac:dyDescent="0.25">
      <c r="A51" s="7" t="s">
        <v>16</v>
      </c>
      <c r="B51" s="1">
        <v>2423</v>
      </c>
    </row>
    <row r="52" spans="1:2" x14ac:dyDescent="0.25">
      <c r="A52" s="7" t="s">
        <v>7</v>
      </c>
      <c r="B52" s="1">
        <v>3528</v>
      </c>
    </row>
    <row r="53" spans="1:2" x14ac:dyDescent="0.25">
      <c r="A53" s="7" t="s">
        <v>40</v>
      </c>
      <c r="B53" s="1">
        <v>3308</v>
      </c>
    </row>
    <row r="54" spans="1:2" x14ac:dyDescent="0.25">
      <c r="A54" s="7" t="s">
        <v>28</v>
      </c>
      <c r="B54" s="1">
        <v>1852</v>
      </c>
    </row>
    <row r="55" spans="1:2" x14ac:dyDescent="0.25">
      <c r="A55" s="7" t="s">
        <v>22</v>
      </c>
      <c r="B55" s="1">
        <v>1172</v>
      </c>
    </row>
    <row r="56" spans="1:2" x14ac:dyDescent="0.25">
      <c r="A56" s="7" t="s">
        <v>5</v>
      </c>
      <c r="B56" s="1">
        <v>5726</v>
      </c>
    </row>
    <row r="57" spans="1:2" x14ac:dyDescent="0.25">
      <c r="A57" s="7" t="s">
        <v>12</v>
      </c>
      <c r="B57" s="1">
        <v>3752</v>
      </c>
    </row>
    <row r="58" spans="1:2" x14ac:dyDescent="0.25">
      <c r="A58" s="7" t="s">
        <v>9</v>
      </c>
      <c r="B58" s="1">
        <v>3813</v>
      </c>
    </row>
    <row r="59" spans="1:2" x14ac:dyDescent="0.25">
      <c r="A59" s="7" t="s">
        <v>43</v>
      </c>
      <c r="B59" s="1">
        <v>5483</v>
      </c>
    </row>
    <row r="60" spans="1:2" x14ac:dyDescent="0.25">
      <c r="A60" s="7" t="s">
        <v>24</v>
      </c>
      <c r="B60" s="1">
        <v>6301</v>
      </c>
    </row>
    <row r="61" spans="1:2" x14ac:dyDescent="0.25">
      <c r="A61" s="7" t="s">
        <v>69</v>
      </c>
      <c r="B61" s="1">
        <v>45851</v>
      </c>
    </row>
    <row r="66" spans="1:2" x14ac:dyDescent="0.25">
      <c r="A66" s="8" t="s">
        <v>77</v>
      </c>
      <c r="B66" s="9" t="s">
        <v>78</v>
      </c>
    </row>
    <row r="69" spans="1:2" x14ac:dyDescent="0.25">
      <c r="A69" s="6" t="s">
        <v>68</v>
      </c>
      <c r="B69" t="s">
        <v>67</v>
      </c>
    </row>
    <row r="70" spans="1:2" x14ac:dyDescent="0.25">
      <c r="A70" s="7" t="s">
        <v>30</v>
      </c>
      <c r="B70" s="1">
        <v>1692</v>
      </c>
    </row>
    <row r="71" spans="1:2" x14ac:dyDescent="0.25">
      <c r="A71" s="7" t="s">
        <v>37</v>
      </c>
      <c r="B71" s="1">
        <v>3412</v>
      </c>
    </row>
    <row r="72" spans="1:2" x14ac:dyDescent="0.25">
      <c r="A72" s="7" t="s">
        <v>34</v>
      </c>
      <c r="B72" s="1">
        <v>3389</v>
      </c>
    </row>
    <row r="73" spans="1:2" x14ac:dyDescent="0.25">
      <c r="A73" s="7" t="s">
        <v>16</v>
      </c>
      <c r="B73" s="1">
        <v>2423</v>
      </c>
    </row>
    <row r="74" spans="1:2" x14ac:dyDescent="0.25">
      <c r="A74" s="7" t="s">
        <v>7</v>
      </c>
      <c r="B74" s="1">
        <v>3528</v>
      </c>
    </row>
    <row r="75" spans="1:2" x14ac:dyDescent="0.25">
      <c r="A75" s="7" t="s">
        <v>40</v>
      </c>
      <c r="B75" s="1">
        <v>3308</v>
      </c>
    </row>
    <row r="76" spans="1:2" x14ac:dyDescent="0.25">
      <c r="A76" s="7" t="s">
        <v>28</v>
      </c>
      <c r="B76" s="1">
        <v>1852</v>
      </c>
    </row>
    <row r="77" spans="1:2" x14ac:dyDescent="0.25">
      <c r="A77" s="7" t="s">
        <v>22</v>
      </c>
      <c r="B77" s="1">
        <v>1172</v>
      </c>
    </row>
    <row r="78" spans="1:2" x14ac:dyDescent="0.25">
      <c r="A78" s="7" t="s">
        <v>5</v>
      </c>
      <c r="B78" s="1">
        <v>5726</v>
      </c>
    </row>
    <row r="79" spans="1:2" x14ac:dyDescent="0.25">
      <c r="A79" s="7" t="s">
        <v>12</v>
      </c>
      <c r="B79" s="1">
        <v>3752</v>
      </c>
    </row>
    <row r="80" spans="1:2" x14ac:dyDescent="0.25">
      <c r="A80" s="7" t="s">
        <v>9</v>
      </c>
      <c r="B80" s="1">
        <v>3813</v>
      </c>
    </row>
    <row r="81" spans="1:2" x14ac:dyDescent="0.25">
      <c r="A81" s="7" t="s">
        <v>43</v>
      </c>
      <c r="B81" s="1">
        <v>5483</v>
      </c>
    </row>
    <row r="82" spans="1:2" x14ac:dyDescent="0.25">
      <c r="A82" s="7" t="s">
        <v>24</v>
      </c>
      <c r="B82" s="1">
        <v>6301</v>
      </c>
    </row>
    <row r="83" spans="1:2" x14ac:dyDescent="0.25">
      <c r="A83" s="7" t="s">
        <v>69</v>
      </c>
      <c r="B83" s="1">
        <v>45851</v>
      </c>
    </row>
    <row r="90" spans="1:2" x14ac:dyDescent="0.25">
      <c r="A90" s="8" t="s">
        <v>80</v>
      </c>
      <c r="B90" s="9" t="s">
        <v>79</v>
      </c>
    </row>
    <row r="94" spans="1:2" x14ac:dyDescent="0.25">
      <c r="A94" s="6" t="s">
        <v>68</v>
      </c>
      <c r="B94" t="s">
        <v>67</v>
      </c>
    </row>
    <row r="95" spans="1:2" x14ac:dyDescent="0.25">
      <c r="A95" s="7" t="s">
        <v>5</v>
      </c>
      <c r="B95" s="1">
        <v>5726</v>
      </c>
    </row>
    <row r="96" spans="1:2" x14ac:dyDescent="0.25">
      <c r="A96" s="7" t="s">
        <v>43</v>
      </c>
      <c r="B96" s="1">
        <v>5483</v>
      </c>
    </row>
    <row r="97" spans="1:2" x14ac:dyDescent="0.25">
      <c r="A97" s="7" t="s">
        <v>24</v>
      </c>
      <c r="B97" s="1">
        <v>6301</v>
      </c>
    </row>
    <row r="98" spans="1:2" x14ac:dyDescent="0.25">
      <c r="A98" s="7" t="s">
        <v>69</v>
      </c>
      <c r="B98" s="1">
        <v>17510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432C2D-EC6E-4C8F-9A42-9F55FF6DEE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Food Delivery Orders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dilip pawar</cp:lastModifiedBy>
  <dcterms:created xsi:type="dcterms:W3CDTF">2026-09-23T09:34:37Z</dcterms:created>
  <dcterms:modified xsi:type="dcterms:W3CDTF">2026-09-23T10:51:49Z</dcterms:modified>
</cp:coreProperties>
</file>