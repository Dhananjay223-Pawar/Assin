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48a33403e70c3ed1/Desktop/Data Analyst course/Session File/"/>
    </mc:Choice>
  </mc:AlternateContent>
  <xr:revisionPtr revIDLastSave="20" documentId="14_{B2E0E395-FBCE-44D7-994B-859B8050FD6F}" xr6:coauthVersionLast="47" xr6:coauthVersionMax="47" xr10:uidLastSave="{B0D2F332-A562-40B8-97B0-0927B9C94543}"/>
  <bookViews>
    <workbookView xWindow="-114" yWindow="-114" windowWidth="27602" windowHeight="14927" xr2:uid="{2CC3E50F-2083-4DC4-8089-E498A01403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4" i="1" l="1"/>
  <c r="E52" i="1"/>
  <c r="G52" i="1" s="1"/>
  <c r="G51" i="1"/>
  <c r="G53" i="1"/>
  <c r="G54" i="1"/>
  <c r="G50" i="1"/>
  <c r="E51" i="1"/>
  <c r="E53" i="1"/>
  <c r="E50" i="1"/>
  <c r="G41" i="1"/>
  <c r="E42" i="1"/>
  <c r="G42" i="1" s="1"/>
  <c r="E41" i="1"/>
  <c r="E40" i="1"/>
  <c r="G40" i="1" s="1"/>
  <c r="E39" i="1"/>
  <c r="G39" i="1" s="1"/>
  <c r="E38" i="1"/>
  <c r="G38" i="1" s="1"/>
  <c r="G37" i="1"/>
  <c r="E29" i="1"/>
  <c r="D29" i="1"/>
  <c r="E28" i="1"/>
  <c r="D28" i="1"/>
  <c r="E27" i="1"/>
  <c r="D27" i="1"/>
  <c r="E26" i="1"/>
  <c r="D26" i="1"/>
  <c r="E25" i="1"/>
  <c r="D25" i="1"/>
  <c r="E24" i="1"/>
  <c r="D24" i="1"/>
  <c r="E23" i="1"/>
  <c r="D23" i="1"/>
  <c r="F16" i="1"/>
  <c r="E16" i="1"/>
  <c r="D16" i="1"/>
  <c r="F15" i="1"/>
  <c r="E15" i="1"/>
  <c r="D15" i="1"/>
  <c r="F14" i="1"/>
  <c r="E14" i="1"/>
  <c r="D14" i="1"/>
  <c r="F13" i="1"/>
  <c r="E13" i="1"/>
  <c r="D13" i="1"/>
  <c r="F12" i="1"/>
  <c r="E12" i="1"/>
  <c r="D12" i="1"/>
  <c r="D4" i="1"/>
  <c r="C4" i="1"/>
</calcChain>
</file>

<file path=xl/sharedStrings.xml><?xml version="1.0" encoding="utf-8"?>
<sst xmlns="http://schemas.openxmlformats.org/spreadsheetml/2006/main" count="52" uniqueCount="51">
  <si>
    <t>Task - 1</t>
  </si>
  <si>
    <t>Open a new Excel sheet and use the TODAY() and NOW() functions to display the current date and current time in two separate cells.</t>
  </si>
  <si>
    <t>Today Function</t>
  </si>
  <si>
    <t>Now Function</t>
  </si>
  <si>
    <t>Task - 2</t>
  </si>
  <si>
    <t>Given a list of 5 friends' birthdays in column A, use the YEAR(), MONTH(), and DAY() functions in columns B, C, and D to extract and display the year, month, and day for each birthday.</t>
  </si>
  <si>
    <t>Date Of Birth</t>
  </si>
  <si>
    <t>Year()</t>
  </si>
  <si>
    <t>Month()</t>
  </si>
  <si>
    <t>Day()</t>
  </si>
  <si>
    <t>Task - 3</t>
  </si>
  <si>
    <t>Imagine you are tracking your favorite IPL team's matches. In column A, enter the match dates for the current season. In column B, use the NETWORKDAYS function to calculate the number of working days between each match date and today. Hint: Assume weekends are non-working days and ignore holidays.</t>
  </si>
  <si>
    <t>Match Date</t>
  </si>
  <si>
    <t>Networkdays</t>
  </si>
  <si>
    <t>Networkdays (5 working days)</t>
  </si>
  <si>
    <t>Task - 4</t>
  </si>
  <si>
    <t>Create a table with two columns: 'Order Date' (when you placed an order on Flipkart) and 'Delivery Date' (when it arrived). Use the DATEDIF function to calculate the number of days taken for delivery for each order.</t>
  </si>
  <si>
    <t>O_id</t>
  </si>
  <si>
    <t>Order Date</t>
  </si>
  <si>
    <t>Product</t>
  </si>
  <si>
    <t>Delivery Date</t>
  </si>
  <si>
    <t>DateIF Function</t>
  </si>
  <si>
    <t>01</t>
  </si>
  <si>
    <t>Keyboard</t>
  </si>
  <si>
    <t>02</t>
  </si>
  <si>
    <t>Memory Card</t>
  </si>
  <si>
    <t>03</t>
  </si>
  <si>
    <t>Mouse</t>
  </si>
  <si>
    <t>04</t>
  </si>
  <si>
    <t>Laptop</t>
  </si>
  <si>
    <t>05</t>
  </si>
  <si>
    <t>CPU</t>
  </si>
  <si>
    <t>06</t>
  </si>
  <si>
    <t>HDD</t>
  </si>
  <si>
    <t>Task - 5</t>
  </si>
  <si>
    <t>You want to know how many months you have been using your Spotify account. In one cell, enter your Spotify signup date. In another cell, use the EOMONTH function to find the last day of the current month, then calculate the total number of months since your signup date using DATEDIF. Hint:  Use DATEDIF with the 'm' unit for months.</t>
  </si>
  <si>
    <t>=TODAY()</t>
  </si>
  <si>
    <t>=NOW()</t>
  </si>
  <si>
    <t>=YEAR(C17)</t>
  </si>
  <si>
    <t>=MONTH(C17)</t>
  </si>
  <si>
    <t>=DAY(C17)</t>
  </si>
  <si>
    <t>=DATEDIF(C37,E37,"D")</t>
  </si>
  <si>
    <t>Spotify Account</t>
  </si>
  <si>
    <t>Spotify Signup</t>
  </si>
  <si>
    <t>Eomonth Function</t>
  </si>
  <si>
    <t>Song</t>
  </si>
  <si>
    <t>Tum Hi Ho</t>
  </si>
  <si>
    <t>Galliyan</t>
  </si>
  <si>
    <t>Dilbar</t>
  </si>
  <si>
    <t>Moh Moh Ke Dhaage</t>
  </si>
  <si>
    <t>Lungi 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</si>
</sst>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7" formatCode="dd/mm/yyyy;@"/>
  </numFmts>
  <fonts count="2" x14ac:knownFonts="1">
    <font>
      <sz val="11"/>
      <color theme="1"/>
      <name val="Calibri"/>
      <family val="2"/>
      <scheme val="minor"/>
    </font>
    <font>
      <b/>
      <sz val="8.5500000000000007"/>
      <color theme="1"/>
      <name val="Segoe UI"/>
      <charset val="134"/>
    </font>
  </fonts>
  <fills count="5">
    <fill>
      <patternFill patternType="none"/>
    </fill>
    <fill>
      <patternFill patternType="gray125"/>
    </fill>
    <fill>
      <patternFill patternType="solid">
        <fgColor theme="8" tint="-0.249977111117893"/>
        <bgColor indexed="64"/>
      </patternFill>
    </fill>
    <fill>
      <patternFill patternType="solid">
        <fgColor theme="4" tint="0.39997558519241921"/>
        <bgColor indexed="64"/>
      </patternFill>
    </fill>
    <fill>
      <patternFill patternType="solid">
        <fgColor theme="8"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1">
    <xf numFmtId="0" fontId="0" fillId="0" borderId="0" xfId="0"/>
    <xf numFmtId="0" fontId="0" fillId="2" borderId="0" xfId="0" applyFill="1" applyAlignment="1">
      <alignment vertical="center"/>
    </xf>
    <xf numFmtId="0" fontId="1" fillId="0" borderId="0" xfId="0" applyFont="1" applyAlignment="1">
      <alignment vertical="center"/>
    </xf>
    <xf numFmtId="0" fontId="0" fillId="0" borderId="0" xfId="0" applyAlignment="1">
      <alignment vertical="center"/>
    </xf>
    <xf numFmtId="0" fontId="0" fillId="3" borderId="1" xfId="0" applyFill="1" applyBorder="1" applyAlignment="1">
      <alignment vertical="center"/>
    </xf>
    <xf numFmtId="14" fontId="0" fillId="0" borderId="1" xfId="0" applyNumberFormat="1" applyBorder="1" applyAlignment="1">
      <alignment vertical="center"/>
    </xf>
    <xf numFmtId="22" fontId="0" fillId="0" borderId="1" xfId="0" applyNumberFormat="1" applyBorder="1" applyAlignment="1">
      <alignment vertical="center"/>
    </xf>
    <xf numFmtId="0" fontId="0" fillId="3" borderId="1" xfId="0"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3" borderId="0" xfId="0" applyFill="1" applyAlignment="1">
      <alignment horizontal="center" vertical="center"/>
    </xf>
    <xf numFmtId="0" fontId="0" fillId="0" borderId="1" xfId="0" quotePrefix="1" applyBorder="1" applyAlignment="1">
      <alignment horizontal="center" vertical="center"/>
    </xf>
    <xf numFmtId="0" fontId="0" fillId="0" borderId="0" xfId="0" applyAlignment="1">
      <alignment horizontal="center" vertical="center"/>
    </xf>
    <xf numFmtId="164" fontId="0" fillId="0" borderId="1" xfId="0" applyNumberFormat="1" applyBorder="1" applyAlignment="1">
      <alignment horizontal="center" vertical="center"/>
    </xf>
    <xf numFmtId="0" fontId="1" fillId="0" borderId="0" xfId="0" applyFont="1" applyAlignment="1">
      <alignment horizontal="left" vertical="center" wrapText="1"/>
    </xf>
    <xf numFmtId="14" fontId="0" fillId="0" borderId="1" xfId="0" quotePrefix="1" applyNumberFormat="1" applyBorder="1" applyAlignment="1">
      <alignment vertical="center"/>
    </xf>
    <xf numFmtId="22" fontId="0" fillId="0" borderId="1" xfId="0" quotePrefix="1" applyNumberFormat="1" applyBorder="1" applyAlignment="1">
      <alignment vertical="center"/>
    </xf>
    <xf numFmtId="0" fontId="0" fillId="0" borderId="0" xfId="0" quotePrefix="1" applyBorder="1" applyAlignment="1">
      <alignment horizontal="center" vertical="center"/>
    </xf>
    <xf numFmtId="0" fontId="0" fillId="0" borderId="0" xfId="0" quotePrefix="1" applyAlignment="1">
      <alignment vertical="center"/>
    </xf>
    <xf numFmtId="0" fontId="0" fillId="4" borderId="2" xfId="0" applyFill="1" applyBorder="1" applyAlignment="1">
      <alignment horizontal="center" vertical="center"/>
    </xf>
    <xf numFmtId="167"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41493-3350-4C88-8782-157839B9A025}">
  <dimension ref="A1:P54"/>
  <sheetViews>
    <sheetView tabSelected="1" topLeftCell="A28" workbookViewId="0">
      <selection activeCell="I50" sqref="I50"/>
    </sheetView>
  </sheetViews>
  <sheetFormatPr defaultColWidth="9.140625" defaultRowHeight="14.3" x14ac:dyDescent="0.25"/>
  <cols>
    <col min="1" max="2" width="9.140625" style="3"/>
    <col min="3" max="3" width="19.42578125" style="3" bestFit="1" customWidth="1"/>
    <col min="4" max="4" width="16.85546875" style="3" customWidth="1"/>
    <col min="5" max="5" width="30.5703125" style="3" customWidth="1"/>
    <col min="6" max="6" width="9.140625" style="3"/>
    <col min="7" max="7" width="16.140625" style="3" customWidth="1"/>
    <col min="8" max="16384" width="9.140625" style="3"/>
  </cols>
  <sheetData>
    <row r="1" spans="1:6" x14ac:dyDescent="0.25">
      <c r="A1" s="1" t="s">
        <v>0</v>
      </c>
      <c r="B1" s="2" t="s">
        <v>1</v>
      </c>
    </row>
    <row r="3" spans="1:6" x14ac:dyDescent="0.25">
      <c r="C3" s="4" t="s">
        <v>2</v>
      </c>
      <c r="D3" s="4" t="s">
        <v>3</v>
      </c>
    </row>
    <row r="4" spans="1:6" x14ac:dyDescent="0.25">
      <c r="C4" s="5">
        <f ca="1">TODAY()</f>
        <v>46274</v>
      </c>
      <c r="D4" s="6">
        <f ca="1">NOW()</f>
        <v>46274.755864236111</v>
      </c>
    </row>
    <row r="5" spans="1:6" x14ac:dyDescent="0.25">
      <c r="C5" s="15" t="s">
        <v>36</v>
      </c>
      <c r="D5" s="16" t="s">
        <v>37</v>
      </c>
    </row>
    <row r="8" spans="1:6" x14ac:dyDescent="0.25">
      <c r="A8" s="1" t="s">
        <v>4</v>
      </c>
      <c r="B8" s="2" t="s">
        <v>5</v>
      </c>
    </row>
    <row r="11" spans="1:6" x14ac:dyDescent="0.25">
      <c r="C11" s="7" t="s">
        <v>6</v>
      </c>
      <c r="D11" s="7" t="s">
        <v>7</v>
      </c>
      <c r="E11" s="7" t="s">
        <v>8</v>
      </c>
      <c r="F11" s="7" t="s">
        <v>9</v>
      </c>
    </row>
    <row r="12" spans="1:6" x14ac:dyDescent="0.25">
      <c r="C12" s="8">
        <v>35359</v>
      </c>
      <c r="D12" s="9">
        <f>YEAR(C12)</f>
        <v>1996</v>
      </c>
      <c r="E12" s="9">
        <f>MONTH(C12)</f>
        <v>10</v>
      </c>
      <c r="F12" s="9">
        <f>DAY(C12)</f>
        <v>21</v>
      </c>
    </row>
    <row r="13" spans="1:6" x14ac:dyDescent="0.25">
      <c r="C13" s="8">
        <v>34915</v>
      </c>
      <c r="D13" s="9">
        <f>YEAR(C13)</f>
        <v>1995</v>
      </c>
      <c r="E13" s="9">
        <f>MONTH(C13)</f>
        <v>8</v>
      </c>
      <c r="F13" s="9">
        <f>DAY(C13)</f>
        <v>4</v>
      </c>
    </row>
    <row r="14" spans="1:6" x14ac:dyDescent="0.25">
      <c r="C14" s="8">
        <v>36760</v>
      </c>
      <c r="D14" s="9">
        <f>YEAR(C14)</f>
        <v>2000</v>
      </c>
      <c r="E14" s="9">
        <f>MONTH(C14)</f>
        <v>8</v>
      </c>
      <c r="F14" s="9">
        <f>DAY(C14)</f>
        <v>22</v>
      </c>
    </row>
    <row r="15" spans="1:6" x14ac:dyDescent="0.25">
      <c r="C15" s="8">
        <v>25690</v>
      </c>
      <c r="D15" s="9">
        <f>YEAR(C15)</f>
        <v>1970</v>
      </c>
      <c r="E15" s="9">
        <f>MONTH(C15)</f>
        <v>5</v>
      </c>
      <c r="F15" s="9">
        <f>DAY(C15)</f>
        <v>2</v>
      </c>
    </row>
    <row r="16" spans="1:6" x14ac:dyDescent="0.25">
      <c r="C16" s="8">
        <v>37443</v>
      </c>
      <c r="D16" s="9">
        <f>YEAR(C16)</f>
        <v>2002</v>
      </c>
      <c r="E16" s="9">
        <f>MONTH(C16)</f>
        <v>7</v>
      </c>
      <c r="F16" s="9">
        <f>DAY(C16)</f>
        <v>6</v>
      </c>
    </row>
    <row r="17" spans="1:6" x14ac:dyDescent="0.25">
      <c r="D17" s="17" t="s">
        <v>38</v>
      </c>
      <c r="E17" s="17" t="s">
        <v>39</v>
      </c>
      <c r="F17" s="17" t="s">
        <v>40</v>
      </c>
    </row>
    <row r="20" spans="1:6" x14ac:dyDescent="0.25">
      <c r="A20" s="1" t="s">
        <v>10</v>
      </c>
      <c r="B20" s="2" t="s">
        <v>11</v>
      </c>
    </row>
    <row r="22" spans="1:6" x14ac:dyDescent="0.25">
      <c r="C22" s="7" t="s">
        <v>12</v>
      </c>
      <c r="D22" s="7" t="s">
        <v>13</v>
      </c>
      <c r="E22" s="7" t="s">
        <v>14</v>
      </c>
    </row>
    <row r="23" spans="1:6" x14ac:dyDescent="0.25">
      <c r="C23" s="8">
        <v>46117</v>
      </c>
      <c r="D23" s="9">
        <f ca="1">NETWORKDAYS(C23,TODAY())</f>
        <v>113</v>
      </c>
      <c r="E23" s="3">
        <f ca="1">NETWORKDAYS.INTL(C23,TODAY(),2)</f>
        <v>112</v>
      </c>
    </row>
    <row r="24" spans="1:6" x14ac:dyDescent="0.25">
      <c r="C24" s="8">
        <v>46119</v>
      </c>
      <c r="D24" s="9">
        <f t="shared" ref="D24:D29" ca="1" si="0">NETWORKDAYS(C24,TODAY())</f>
        <v>112</v>
      </c>
      <c r="E24" s="3">
        <f t="shared" ref="E24:E29" ca="1" si="1">NETWORKDAYS.INTL(C24,TODAY(),2)</f>
        <v>112</v>
      </c>
    </row>
    <row r="25" spans="1:6" x14ac:dyDescent="0.25">
      <c r="C25" s="8">
        <v>46123</v>
      </c>
      <c r="D25" s="9">
        <f t="shared" ca="1" si="0"/>
        <v>108</v>
      </c>
      <c r="E25" s="3">
        <f t="shared" ca="1" si="1"/>
        <v>108</v>
      </c>
    </row>
    <row r="26" spans="1:6" x14ac:dyDescent="0.25">
      <c r="C26" s="8">
        <v>46129</v>
      </c>
      <c r="D26" s="9">
        <f t="shared" ca="1" si="0"/>
        <v>104</v>
      </c>
      <c r="E26" s="3">
        <f t="shared" ca="1" si="1"/>
        <v>104</v>
      </c>
    </row>
    <row r="27" spans="1:6" x14ac:dyDescent="0.25">
      <c r="C27" s="8">
        <v>46132</v>
      </c>
      <c r="D27" s="9">
        <f t="shared" ca="1" si="0"/>
        <v>103</v>
      </c>
      <c r="E27" s="3">
        <f t="shared" ca="1" si="1"/>
        <v>102</v>
      </c>
    </row>
    <row r="28" spans="1:6" x14ac:dyDescent="0.25">
      <c r="C28" s="8">
        <v>46135</v>
      </c>
      <c r="D28" s="9">
        <f t="shared" ca="1" si="0"/>
        <v>100</v>
      </c>
      <c r="E28" s="3">
        <f t="shared" ca="1" si="1"/>
        <v>100</v>
      </c>
    </row>
    <row r="29" spans="1:6" x14ac:dyDescent="0.25">
      <c r="C29" s="8">
        <v>46137</v>
      </c>
      <c r="D29" s="9">
        <f t="shared" ca="1" si="0"/>
        <v>98</v>
      </c>
      <c r="E29" s="3">
        <f t="shared" ca="1" si="1"/>
        <v>98</v>
      </c>
    </row>
    <row r="33" spans="1:16" x14ac:dyDescent="0.25">
      <c r="A33" s="1" t="s">
        <v>15</v>
      </c>
      <c r="B33" s="2" t="s">
        <v>16</v>
      </c>
    </row>
    <row r="36" spans="1:16" x14ac:dyDescent="0.25">
      <c r="B36" s="7" t="s">
        <v>17</v>
      </c>
      <c r="C36" s="7" t="s">
        <v>18</v>
      </c>
      <c r="D36" s="7" t="s">
        <v>19</v>
      </c>
      <c r="E36" s="7" t="s">
        <v>20</v>
      </c>
      <c r="G36" s="10" t="s">
        <v>21</v>
      </c>
    </row>
    <row r="37" spans="1:16" x14ac:dyDescent="0.25">
      <c r="B37" s="11" t="s">
        <v>22</v>
      </c>
      <c r="C37" s="8">
        <v>46117</v>
      </c>
      <c r="D37" s="9" t="s">
        <v>23</v>
      </c>
      <c r="E37" s="8">
        <v>46122</v>
      </c>
      <c r="G37" s="12">
        <f t="shared" ref="G37:G43" si="2">DATEDIF(C37,E37,"D")</f>
        <v>5</v>
      </c>
      <c r="H37" s="18" t="s">
        <v>41</v>
      </c>
    </row>
    <row r="38" spans="1:16" x14ac:dyDescent="0.25">
      <c r="B38" s="11" t="s">
        <v>24</v>
      </c>
      <c r="C38" s="8">
        <v>46119</v>
      </c>
      <c r="D38" s="9" t="s">
        <v>25</v>
      </c>
      <c r="E38" s="13">
        <f>C38+5</f>
        <v>46124</v>
      </c>
      <c r="G38" s="12">
        <f t="shared" si="2"/>
        <v>5</v>
      </c>
    </row>
    <row r="39" spans="1:16" x14ac:dyDescent="0.25">
      <c r="B39" s="11" t="s">
        <v>26</v>
      </c>
      <c r="C39" s="8">
        <v>46123</v>
      </c>
      <c r="D39" s="9" t="s">
        <v>27</v>
      </c>
      <c r="E39" s="13">
        <f>C39+5</f>
        <v>46128</v>
      </c>
      <c r="G39" s="12">
        <f t="shared" si="2"/>
        <v>5</v>
      </c>
    </row>
    <row r="40" spans="1:16" x14ac:dyDescent="0.25">
      <c r="B40" s="11" t="s">
        <v>28</v>
      </c>
      <c r="C40" s="8">
        <v>46129</v>
      </c>
      <c r="D40" s="9" t="s">
        <v>29</v>
      </c>
      <c r="E40" s="13">
        <f>C40+5</f>
        <v>46134</v>
      </c>
      <c r="G40" s="12">
        <f t="shared" si="2"/>
        <v>5</v>
      </c>
    </row>
    <row r="41" spans="1:16" x14ac:dyDescent="0.25">
      <c r="B41" s="11" t="s">
        <v>30</v>
      </c>
      <c r="C41" s="8">
        <v>46132</v>
      </c>
      <c r="D41" s="9" t="s">
        <v>31</v>
      </c>
      <c r="E41" s="13">
        <f>C41+5</f>
        <v>46137</v>
      </c>
      <c r="G41" s="12">
        <f>DATEDIF(C41,E41,"D")</f>
        <v>5</v>
      </c>
    </row>
    <row r="42" spans="1:16" x14ac:dyDescent="0.25">
      <c r="B42" s="11" t="s">
        <v>32</v>
      </c>
      <c r="C42" s="8">
        <v>46135</v>
      </c>
      <c r="D42" s="9" t="s">
        <v>33</v>
      </c>
      <c r="E42" s="13">
        <f>C42+5</f>
        <v>46140</v>
      </c>
      <c r="G42" s="12">
        <f t="shared" si="2"/>
        <v>5</v>
      </c>
    </row>
    <row r="46" spans="1:16" ht="36" customHeight="1" x14ac:dyDescent="0.25">
      <c r="A46" s="1" t="s">
        <v>34</v>
      </c>
      <c r="B46" s="14" t="s">
        <v>35</v>
      </c>
      <c r="C46" s="14"/>
      <c r="D46" s="14"/>
      <c r="E46" s="14"/>
      <c r="F46" s="14"/>
      <c r="G46" s="14"/>
      <c r="H46" s="14"/>
      <c r="I46" s="14"/>
      <c r="J46" s="14"/>
      <c r="K46" s="14"/>
      <c r="L46" s="14"/>
      <c r="M46" s="14"/>
      <c r="N46" s="14"/>
      <c r="O46" s="14"/>
      <c r="P46" s="14"/>
    </row>
    <row r="48" spans="1:16" x14ac:dyDescent="0.25">
      <c r="C48" s="19" t="s">
        <v>42</v>
      </c>
      <c r="D48" s="19"/>
      <c r="E48" s="19"/>
    </row>
    <row r="49" spans="3:7" x14ac:dyDescent="0.25">
      <c r="C49" s="7" t="s">
        <v>45</v>
      </c>
      <c r="D49" s="7" t="s">
        <v>43</v>
      </c>
      <c r="E49" s="7" t="s">
        <v>44</v>
      </c>
      <c r="G49" s="10" t="s">
        <v>21</v>
      </c>
    </row>
    <row r="50" spans="3:7" x14ac:dyDescent="0.25">
      <c r="C50" s="9" t="s">
        <v>46</v>
      </c>
      <c r="D50" s="8">
        <v>46058</v>
      </c>
      <c r="E50" s="20">
        <f>EOMONTH(D50,0)</f>
        <v>46081</v>
      </c>
      <c r="G50" s="3">
        <f>DATEDIF(D50,E50,"M")</f>
        <v>0</v>
      </c>
    </row>
    <row r="51" spans="3:7" x14ac:dyDescent="0.25">
      <c r="C51" s="9" t="s">
        <v>47</v>
      </c>
      <c r="D51" s="8">
        <v>46149</v>
      </c>
      <c r="E51" s="20">
        <f t="shared" ref="E51:E54" si="3">EOMONTH(D51,0)</f>
        <v>46173</v>
      </c>
      <c r="G51" s="3">
        <f t="shared" ref="G51:G54" si="4">DATEDIF(D51,E51,"M")</f>
        <v>0</v>
      </c>
    </row>
    <row r="52" spans="3:7" x14ac:dyDescent="0.25">
      <c r="C52" s="9" t="s">
        <v>48</v>
      </c>
      <c r="D52" s="8">
        <v>46245</v>
      </c>
      <c r="E52" s="20">
        <f>EOMONTH(D52,1)</f>
        <v>46295</v>
      </c>
      <c r="G52" s="3">
        <f t="shared" si="4"/>
        <v>1</v>
      </c>
    </row>
    <row r="53" spans="3:7" x14ac:dyDescent="0.25">
      <c r="C53" s="9" t="s">
        <v>49</v>
      </c>
      <c r="D53" s="8">
        <v>46312</v>
      </c>
      <c r="E53" s="20">
        <f t="shared" si="3"/>
        <v>46326</v>
      </c>
      <c r="G53" s="3">
        <f t="shared" si="4"/>
        <v>0</v>
      </c>
    </row>
    <row r="54" spans="3:7" x14ac:dyDescent="0.25">
      <c r="C54" s="9" t="s">
        <v>50</v>
      </c>
      <c r="D54" s="8">
        <v>46346</v>
      </c>
      <c r="E54" s="20">
        <f>EOMONTH(D54,2)</f>
        <v>46418</v>
      </c>
      <c r="G54" s="3">
        <f t="shared" si="4"/>
        <v>2</v>
      </c>
    </row>
  </sheetData>
  <mergeCells count="2">
    <mergeCell ref="B46:P46"/>
    <mergeCell ref="C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dilip pawar</cp:lastModifiedBy>
  <dcterms:created xsi:type="dcterms:W3CDTF">2026-09-09T12:05:02Z</dcterms:created>
  <dcterms:modified xsi:type="dcterms:W3CDTF">2026-09-09T12:40:01Z</dcterms:modified>
</cp:coreProperties>
</file>