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48a33403e70c3ed1/Desktop/Data Analyst course/Session File/"/>
    </mc:Choice>
  </mc:AlternateContent>
  <xr:revisionPtr revIDLastSave="24" documentId="8_{18455FC2-3E4D-4AD5-B9C8-F5C98953B96B}" xr6:coauthVersionLast="47" xr6:coauthVersionMax="47" xr10:uidLastSave="{6CB9BEF2-EC87-4745-932A-1F09479AC72C}"/>
  <bookViews>
    <workbookView xWindow="-114" yWindow="-114" windowWidth="27602" windowHeight="14927" activeTab="1" xr2:uid="{F47B3258-46E8-4B4B-949B-5E7EAB7FAE16}"/>
  </bookViews>
  <sheets>
    <sheet name="Sheet1" sheetId="1" r:id="rId1"/>
    <sheet name="Sheet2" sheetId="2" r:id="rId2"/>
  </sheets>
  <definedNames>
    <definedName name="Slicer_City">#N/A</definedName>
    <definedName name="Slicer_Restaurant">#N/A</definedName>
  </definedNames>
  <calcPr calcId="191029" iterate="1"/>
  <pivotCaches>
    <pivotCache cacheId="6"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 i="1" l="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alcChain>
</file>

<file path=xl/sharedStrings.xml><?xml version="1.0" encoding="utf-8"?>
<sst xmlns="http://schemas.openxmlformats.org/spreadsheetml/2006/main" count="395" uniqueCount="174">
  <si>
    <t>Order ID</t>
  </si>
  <si>
    <t>Order Date</t>
  </si>
  <si>
    <t>Customer</t>
  </si>
  <si>
    <t>Restaurant</t>
  </si>
  <si>
    <t>City</t>
  </si>
  <si>
    <t>Order Amount (INR)</t>
  </si>
  <si>
    <t>Status</t>
  </si>
  <si>
    <t>Payment Method</t>
  </si>
  <si>
    <t>ORD100000</t>
  </si>
  <si>
    <t>Customer_3806</t>
  </si>
  <si>
    <t>Punjabi Rasoi</t>
  </si>
  <si>
    <t>Hyderabad</t>
  </si>
  <si>
    <t>Delivered</t>
  </si>
  <si>
    <t>Cash</t>
  </si>
  <si>
    <t>ORD100001</t>
  </si>
  <si>
    <t>Customer_1287</t>
  </si>
  <si>
    <t>Ahmedabad</t>
  </si>
  <si>
    <t>Debit Card</t>
  </si>
  <si>
    <t>ORD100002</t>
  </si>
  <si>
    <t>Customer_5167</t>
  </si>
  <si>
    <t>Street Food Co.</t>
  </si>
  <si>
    <t>Cancelled</t>
  </si>
  <si>
    <t>Credit Card</t>
  </si>
  <si>
    <t>ORD100003</t>
  </si>
  <si>
    <t>Customer_2818</t>
  </si>
  <si>
    <t>Chennai</t>
  </si>
  <si>
    <t>ORD100004</t>
  </si>
  <si>
    <t>Customer_5649</t>
  </si>
  <si>
    <t>South Indian Cafe</t>
  </si>
  <si>
    <t>Mumbai</t>
  </si>
  <si>
    <t>Failed</t>
  </si>
  <si>
    <t>UPI</t>
  </si>
  <si>
    <t>ORD100005</t>
  </si>
  <si>
    <t>Customer_6383</t>
  </si>
  <si>
    <t>Bengaluru</t>
  </si>
  <si>
    <t>ORD100006</t>
  </si>
  <si>
    <t>Customer_9970</t>
  </si>
  <si>
    <t>Grill Nation</t>
  </si>
  <si>
    <t>Vadodara</t>
  </si>
  <si>
    <t>ORD100007</t>
  </si>
  <si>
    <t>Customer_2940</t>
  </si>
  <si>
    <t>Royal Thali</t>
  </si>
  <si>
    <t>Kolkata</t>
  </si>
  <si>
    <t>ORD100008</t>
  </si>
  <si>
    <t>Customer_2067</t>
  </si>
  <si>
    <t>Cafe Delight</t>
  </si>
  <si>
    <t>ORD100009</t>
  </si>
  <si>
    <t>Customer_1989</t>
  </si>
  <si>
    <t>Urban Tadka</t>
  </si>
  <si>
    <t>ORD100010</t>
  </si>
  <si>
    <t>Customer_9480</t>
  </si>
  <si>
    <t>Wrap &amp; Roll</t>
  </si>
  <si>
    <t>Jaipur</t>
  </si>
  <si>
    <t>ORD100011</t>
  </si>
  <si>
    <t>Customer_8746</t>
  </si>
  <si>
    <t>ORD100012</t>
  </si>
  <si>
    <t>Customer_7143</t>
  </si>
  <si>
    <t>Wallet</t>
  </si>
  <si>
    <t>ORD100013</t>
  </si>
  <si>
    <t>Customer_4107</t>
  </si>
  <si>
    <t>Pune</t>
  </si>
  <si>
    <t>ORD100014</t>
  </si>
  <si>
    <t>Customer_5633</t>
  </si>
  <si>
    <t>Delhi</t>
  </si>
  <si>
    <t>ORD100015</t>
  </si>
  <si>
    <t>Customer_8461</t>
  </si>
  <si>
    <t>ORD100016</t>
  </si>
  <si>
    <t>Customer_6219</t>
  </si>
  <si>
    <t>ORD100017</t>
  </si>
  <si>
    <t>Customer_2174</t>
  </si>
  <si>
    <t>Healthy Bowl</t>
  </si>
  <si>
    <t>ORD100018</t>
  </si>
  <si>
    <t>Customer_4537</t>
  </si>
  <si>
    <t>ORD100019</t>
  </si>
  <si>
    <t>Customer_8591</t>
  </si>
  <si>
    <t>ORD100020</t>
  </si>
  <si>
    <t>Customer_8780</t>
  </si>
  <si>
    <t>ORD100021</t>
  </si>
  <si>
    <t>Customer_2688</t>
  </si>
  <si>
    <t>ORD100022</t>
  </si>
  <si>
    <t>Customer_7552</t>
  </si>
  <si>
    <t>Chinese Wok</t>
  </si>
  <si>
    <t>ORD100023</t>
  </si>
  <si>
    <t>Customer_1643</t>
  </si>
  <si>
    <t>ORD100024</t>
  </si>
  <si>
    <t>Customer_5346</t>
  </si>
  <si>
    <t>ORD100025</t>
  </si>
  <si>
    <t>Customer_6843</t>
  </si>
  <si>
    <t>ORD100026</t>
  </si>
  <si>
    <t>Customer_9044</t>
  </si>
  <si>
    <t>ORD100027</t>
  </si>
  <si>
    <t>Customer_5974</t>
  </si>
  <si>
    <t>ORD100028</t>
  </si>
  <si>
    <t>Customer_3619</t>
  </si>
  <si>
    <t>Food Junction</t>
  </si>
  <si>
    <t>ORD100029</t>
  </si>
  <si>
    <t>Customer_1554</t>
  </si>
  <si>
    <t>ORD100030</t>
  </si>
  <si>
    <t>Customer_7069</t>
  </si>
  <si>
    <t>ORD100031</t>
  </si>
  <si>
    <t>Customer_2843</t>
  </si>
  <si>
    <t>ORD100032</t>
  </si>
  <si>
    <t>Customer_1532</t>
  </si>
  <si>
    <t>ORD100033</t>
  </si>
  <si>
    <t>Customer_8831</t>
  </si>
  <si>
    <t>ORD100034</t>
  </si>
  <si>
    <t>Customer_4492</t>
  </si>
  <si>
    <t>ORD100035</t>
  </si>
  <si>
    <t>Customer_1633</t>
  </si>
  <si>
    <t>ORD100036</t>
  </si>
  <si>
    <t>Customer_6803</t>
  </si>
  <si>
    <t>ORD100037</t>
  </si>
  <si>
    <t>Customer_4282</t>
  </si>
  <si>
    <t>ORD100038</t>
  </si>
  <si>
    <t>Customer_3180</t>
  </si>
  <si>
    <t>ORD100039</t>
  </si>
  <si>
    <t>Customer_1956</t>
  </si>
  <si>
    <t>ORD100040</t>
  </si>
  <si>
    <t>Customer_2323</t>
  </si>
  <si>
    <t>ORD100041</t>
  </si>
  <si>
    <t>Customer_9410</t>
  </si>
  <si>
    <t>ORD100042</t>
  </si>
  <si>
    <t>Customer_4056</t>
  </si>
  <si>
    <t>ORD100043</t>
  </si>
  <si>
    <t>Customer_5482</t>
  </si>
  <si>
    <t>ORD100044</t>
  </si>
  <si>
    <t>Customer_3718</t>
  </si>
  <si>
    <t>ORD100045</t>
  </si>
  <si>
    <t>Customer_4372</t>
  </si>
  <si>
    <t>Pizza Corner</t>
  </si>
  <si>
    <t>ORD100046</t>
  </si>
  <si>
    <t>Customer_5209</t>
  </si>
  <si>
    <t>ORD100047</t>
  </si>
  <si>
    <t>Customer_4657</t>
  </si>
  <si>
    <t>ORD100048</t>
  </si>
  <si>
    <t>Customer_3870</t>
  </si>
  <si>
    <t>ORD100049</t>
  </si>
  <si>
    <t>Customer_9251</t>
  </si>
  <si>
    <t>Months</t>
  </si>
  <si>
    <t>Years</t>
  </si>
  <si>
    <t>Sum of Order Amount (INR)</t>
  </si>
  <si>
    <t>Row Labels</t>
  </si>
  <si>
    <t>Jan</t>
  </si>
  <si>
    <t>Feb</t>
  </si>
  <si>
    <t>Mar</t>
  </si>
  <si>
    <t>Apr</t>
  </si>
  <si>
    <t>May</t>
  </si>
  <si>
    <t>Jun</t>
  </si>
  <si>
    <t>Jul</t>
  </si>
  <si>
    <t>Aug</t>
  </si>
  <si>
    <t>Sep</t>
  </si>
  <si>
    <t>Oct</t>
  </si>
  <si>
    <t>Nov</t>
  </si>
  <si>
    <t>Dec</t>
  </si>
  <si>
    <t>Grand Total</t>
  </si>
  <si>
    <t>Column Labels</t>
  </si>
  <si>
    <t>Task - 1</t>
  </si>
  <si>
    <t>Download a sample dataset of daily food delivery orders (with order dates and amounts) from Zomato or Swiggy, and create a Pivot Table to group total sales by Month and by Year.</t>
  </si>
  <si>
    <t>Task - 2</t>
  </si>
  <si>
    <t>Using the same Pivot Table, group the order dates by Quarter instead of Month, and display the quarterly sales trend for the latest year available. Hint: Right-click any date in the Pivot Table and use the 'Group' option to select Quarter.</t>
  </si>
  <si>
    <t>2025</t>
  </si>
  <si>
    <t>Qtr1</t>
  </si>
  <si>
    <t>Qtr2</t>
  </si>
  <si>
    <t>Qtr3</t>
  </si>
  <si>
    <t>Qtr4</t>
  </si>
  <si>
    <t xml:space="preserve">Add a Calculated Field to your Pivot Table that shows the average order value per month. Hint: Use the Calculated Field option in the PivotTable Analyze tab and divide total sales by the number of orders. </t>
  </si>
  <si>
    <t>Average of Order Amount (INR)</t>
  </si>
  <si>
    <t>Insert a Slicer to your Pivot Table for the 'City' or 'Restaurant' column, so you can instantly filter sales trends for a specific city or restaurant like 'Ahmedabad' or 'Burger King'.</t>
  </si>
  <si>
    <t>Task - 3</t>
  </si>
  <si>
    <t>Burger King</t>
  </si>
  <si>
    <t>Step: Pivot Analyze -&gt; Insert Slicer</t>
  </si>
  <si>
    <t>Task - 4</t>
  </si>
  <si>
    <t>Task - 5</t>
  </si>
  <si>
    <t xml:space="preserve">Double-click on any quarterly sales total in your Pivot Table to drill down and view the list of individual orders that make up that total. Constraint: After drilling down, briefly describe what new worksheet was created and what data it contains.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</si>
</sst>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b/>
      <sz val="11"/>
      <name val="Calibri"/>
      <family val="2"/>
    </font>
    <font>
      <b/>
      <sz val="8"/>
      <color theme="1"/>
      <name val="Segoe UI"/>
      <family val="2"/>
    </font>
  </fonts>
  <fills count="4">
    <fill>
      <patternFill patternType="none"/>
    </fill>
    <fill>
      <patternFill patternType="gray125"/>
    </fill>
    <fill>
      <patternFill patternType="solid">
        <fgColor theme="9" tint="0.39997558519241921"/>
        <bgColor indexed="64"/>
      </patternFill>
    </fill>
    <fill>
      <patternFill patternType="solid">
        <fgColor theme="8" tint="-0.249977111117893"/>
        <bgColor indexed="64"/>
      </patternFill>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0" fontId="2" fillId="2" borderId="1" xfId="0"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1" fillId="3" borderId="0" xfId="0" applyFont="1" applyFill="1"/>
    <xf numFmtId="0" fontId="3" fillId="0" borderId="0" xfId="0" applyFont="1"/>
    <xf numFmtId="0" fontId="0" fillId="0" borderId="0" xfId="0" applyAlignment="1">
      <alignment horizontal="left" indent="1"/>
    </xf>
  </cellXfs>
  <cellStyles count="1">
    <cellStyle name="Normal" xfId="0" builtinId="0"/>
  </cellStyles>
  <dxfs count="14">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border outline="0">
        <top style="thin">
          <color auto="1"/>
        </top>
      </border>
    </dxf>
    <dxf>
      <alignment horizontal="center" vertical="center" textRotation="0" wrapText="0" indent="0" justifyLastLine="0" shrinkToFit="0" readingOrder="0"/>
    </dxf>
    <dxf>
      <border outline="0">
        <bottom style="thin">
          <color auto="1"/>
        </bottom>
      </border>
    </dxf>
    <dxf>
      <font>
        <b/>
        <i val="0"/>
        <strike val="0"/>
        <condense val="0"/>
        <extend val="0"/>
        <outline val="0"/>
        <shadow val="0"/>
        <u val="none"/>
        <vertAlign val="baseline"/>
        <sz val="11"/>
        <color auto="1"/>
        <name val="Calibri"/>
        <family val="2"/>
        <scheme val="none"/>
      </font>
      <fill>
        <patternFill patternType="solid">
          <fgColor indexed="64"/>
          <bgColor theme="9" tint="0.39997558519241921"/>
        </patternFill>
      </fill>
      <alignment horizontal="center" vertical="center"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4" Type="http://schemas.microsoft.com/office/2007/relationships/slicerCache" Target="slicerCaches/slicerCache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4</xdr:col>
      <xdr:colOff>9052</xdr:colOff>
      <xdr:row>60</xdr:row>
      <xdr:rowOff>181069</xdr:rowOff>
    </xdr:from>
    <xdr:to>
      <xdr:col>6</xdr:col>
      <xdr:colOff>543206</xdr:colOff>
      <xdr:row>74</xdr:row>
      <xdr:rowOff>71205</xdr:rowOff>
    </xdr:to>
    <mc:AlternateContent xmlns:mc="http://schemas.openxmlformats.org/markup-compatibility/2006" xmlns:a14="http://schemas.microsoft.com/office/drawing/2010/main">
      <mc:Choice Requires="a14">
        <xdr:graphicFrame macro="">
          <xdr:nvGraphicFramePr>
            <xdr:cNvPr id="3" name="Restaurant">
              <a:extLst>
                <a:ext uri="{FF2B5EF4-FFF2-40B4-BE49-F238E27FC236}">
                  <a16:creationId xmlns:a16="http://schemas.microsoft.com/office/drawing/2014/main" id="{8312EBCD-E12C-0FE0-83D2-05AF695B6F7B}"/>
                </a:ext>
              </a:extLst>
            </xdr:cNvPr>
            <xdr:cNvGraphicFramePr/>
          </xdr:nvGraphicFramePr>
          <xdr:xfrm>
            <a:off x="0" y="0"/>
            <a:ext cx="0" cy="0"/>
          </xdr:xfrm>
          <a:graphic>
            <a:graphicData uri="http://schemas.microsoft.com/office/drawing/2010/slicer">
              <sle:slicer xmlns:sle="http://schemas.microsoft.com/office/drawing/2010/slicer" name="Restaurant"/>
            </a:graphicData>
          </a:graphic>
        </xdr:graphicFrame>
      </mc:Choice>
      <mc:Fallback xmlns="">
        <xdr:sp macro="" textlink="">
          <xdr:nvSpPr>
            <xdr:cNvPr id="0" name=""/>
            <xdr:cNvSpPr>
              <a:spLocks noTextEdit="1"/>
            </xdr:cNvSpPr>
          </xdr:nvSpPr>
          <xdr:spPr>
            <a:xfrm>
              <a:off x="3467476" y="11045227"/>
              <a:ext cx="1828800" cy="242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54320</xdr:colOff>
      <xdr:row>61</xdr:row>
      <xdr:rowOff>9053</xdr:rowOff>
    </xdr:from>
    <xdr:to>
      <xdr:col>10</xdr:col>
      <xdr:colOff>144855</xdr:colOff>
      <xdr:row>74</xdr:row>
      <xdr:rowOff>80259</xdr:rowOff>
    </xdr:to>
    <mc:AlternateContent xmlns:mc="http://schemas.openxmlformats.org/markup-compatibility/2006" xmlns:a14="http://schemas.microsoft.com/office/drawing/2010/main">
      <mc:Choice Requires="a14">
        <xdr:graphicFrame macro="">
          <xdr:nvGraphicFramePr>
            <xdr:cNvPr id="4" name="City">
              <a:extLst>
                <a:ext uri="{FF2B5EF4-FFF2-40B4-BE49-F238E27FC236}">
                  <a16:creationId xmlns:a16="http://schemas.microsoft.com/office/drawing/2014/main" id="{5B305258-E2AA-2649-2F96-B4430121F8E2}"/>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5386811" y="11054281"/>
              <a:ext cx="1828800" cy="242510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88.620767939814" createdVersion="8" refreshedVersion="8" minRefreshableVersion="3" recordCount="50" xr:uid="{043E46C7-DA2B-4F3E-9FEC-E15D487216D7}">
  <cacheSource type="worksheet">
    <worksheetSource name="Table1"/>
  </cacheSource>
  <cacheFields count="13">
    <cacheField name="Order ID" numFmtId="0">
      <sharedItems count="50">
        <s v="ORD100000"/>
        <s v="ORD100001"/>
        <s v="ORD100002"/>
        <s v="ORD100003"/>
        <s v="ORD100004"/>
        <s v="ORD100005"/>
        <s v="ORD100006"/>
        <s v="ORD100007"/>
        <s v="ORD100008"/>
        <s v="ORD100009"/>
        <s v="ORD100010"/>
        <s v="ORD100011"/>
        <s v="ORD100012"/>
        <s v="ORD100013"/>
        <s v="ORD100014"/>
        <s v="ORD100015"/>
        <s v="ORD100016"/>
        <s v="ORD100017"/>
        <s v="ORD100018"/>
        <s v="ORD100019"/>
        <s v="ORD100020"/>
        <s v="ORD100021"/>
        <s v="ORD100022"/>
        <s v="ORD100023"/>
        <s v="ORD100024"/>
        <s v="ORD100025"/>
        <s v="ORD100026"/>
        <s v="ORD100027"/>
        <s v="ORD100028"/>
        <s v="ORD100029"/>
        <s v="ORD100030"/>
        <s v="ORD100031"/>
        <s v="ORD100032"/>
        <s v="ORD100033"/>
        <s v="ORD100034"/>
        <s v="ORD100035"/>
        <s v="ORD100036"/>
        <s v="ORD100037"/>
        <s v="ORD100038"/>
        <s v="ORD100039"/>
        <s v="ORD100040"/>
        <s v="ORD100041"/>
        <s v="ORD100042"/>
        <s v="ORD100043"/>
        <s v="ORD100044"/>
        <s v="ORD100045"/>
        <s v="ORD100046"/>
        <s v="ORD100047"/>
        <s v="ORD100048"/>
        <s v="ORD100049"/>
      </sharedItems>
    </cacheField>
    <cacheField name="Order Date" numFmtId="14">
      <sharedItems containsSemiMixedTypes="0" containsNonDate="0" containsDate="1" containsString="0" minDate="2024-01-21T00:00:00" maxDate="2026-12-31T00:00:00" count="49">
        <d v="2024-04-13T00:00:00"/>
        <d v="2024-12-15T00:00:00"/>
        <d v="2024-09-28T00:00:00"/>
        <d v="2024-04-17T00:00:00"/>
        <d v="2024-03-13T00:00:00"/>
        <d v="2024-07-08T00:00:00"/>
        <d v="2024-01-21T00:00:00"/>
        <d v="2024-05-02T00:00:00"/>
        <d v="2025-08-03T00:00:00"/>
        <d v="2025-11-27T00:00:00"/>
        <d v="2025-03-29T00:00:00"/>
        <d v="2025-04-10T00:00:00"/>
        <d v="2025-12-26T00:00:00"/>
        <d v="2025-06-01T00:00:00"/>
        <d v="2025-05-11T00:00:00"/>
        <d v="2025-05-30T00:00:00"/>
        <d v="2025-11-05T00:00:00"/>
        <d v="2025-09-15T00:00:00"/>
        <d v="2025-12-10T00:00:00"/>
        <d v="2025-10-21T00:00:00"/>
        <d v="2025-07-11T00:00:00"/>
        <d v="2025-10-04T00:00:00"/>
        <d v="2025-06-10T00:00:00"/>
        <d v="2025-11-10T00:00:00"/>
        <d v="2025-01-22T00:00:00"/>
        <d v="2025-09-10T00:00:00"/>
        <d v="2025-08-24T00:00:00"/>
        <d v="2025-12-11T00:00:00"/>
        <d v="2026-02-18T00:00:00"/>
        <d v="2026-02-28T00:00:00"/>
        <d v="2025-06-19T00:00:00"/>
        <d v="2026-07-07T00:00:00"/>
        <d v="2026-09-28T00:00:00"/>
        <d v="2026-07-09T00:00:00"/>
        <d v="2026-06-24T00:00:00"/>
        <d v="2026-02-20T00:00:00"/>
        <d v="2026-12-30T00:00:00"/>
        <d v="2026-02-24T00:00:00"/>
        <d v="2026-09-01T00:00:00"/>
        <d v="2026-11-16T00:00:00"/>
        <d v="2026-05-11T00:00:00"/>
        <d v="2026-11-03T00:00:00"/>
        <d v="2026-05-15T00:00:00"/>
        <d v="2026-01-21T00:00:00"/>
        <d v="2026-11-25T00:00:00"/>
        <d v="2026-06-16T00:00:00"/>
        <d v="2026-10-01T00:00:00"/>
        <d v="2026-03-30T00:00:00"/>
        <d v="2026-11-12T00:00:00"/>
      </sharedItems>
      <fieldGroup par="12"/>
    </cacheField>
    <cacheField name="Customer" numFmtId="0">
      <sharedItems/>
    </cacheField>
    <cacheField name="Restaurant" numFmtId="0">
      <sharedItems count="14">
        <s v="Punjabi Rasoi"/>
        <s v="Burger King"/>
        <s v="Street Food Co."/>
        <s v="South Indian Cafe"/>
        <s v="Grill Nation"/>
        <s v="Royal Thali"/>
        <s v="Cafe Delight"/>
        <s v="Urban Tadka"/>
        <s v="Wrap &amp; Roll"/>
        <s v="Healthy Bowl"/>
        <s v="Chinese Wok"/>
        <s v="Food Junction"/>
        <s v="Pizza Corner"/>
        <s v="Burger Point" u="1"/>
      </sharedItems>
    </cacheField>
    <cacheField name="City" numFmtId="0">
      <sharedItems count="10">
        <s v="Hyderabad"/>
        <s v="Ahmedabad"/>
        <s v="Chennai"/>
        <s v="Mumbai"/>
        <s v="Bengaluru"/>
        <s v="Vadodara"/>
        <s v="Kolkata"/>
        <s v="Jaipur"/>
        <s v="Pune"/>
        <s v="Delhi"/>
      </sharedItems>
    </cacheField>
    <cacheField name="Order Amount (INR)" numFmtId="0">
      <sharedItems containsSemiMixedTypes="0" containsString="0" containsNumber="1" containsInteger="1" minValue="288" maxValue="2035"/>
    </cacheField>
    <cacheField name="Status" numFmtId="0">
      <sharedItems/>
    </cacheField>
    <cacheField name="Payment Method" numFmtId="0">
      <sharedItems/>
    </cacheField>
    <cacheField name="Months" numFmtId="0">
      <sharedItems count="12">
        <s v="Apr"/>
        <s v="Dec"/>
        <s v="Sep"/>
        <s v="Mar"/>
        <s v="Jul"/>
        <s v="Jan"/>
        <s v="May"/>
        <s v="Aug"/>
        <s v="Nov"/>
        <s v="Jun"/>
        <s v="Oct"/>
        <s v="Feb"/>
      </sharedItems>
    </cacheField>
    <cacheField name="Years" numFmtId="0">
      <sharedItems containsSemiMixedTypes="0" containsString="0" containsNumber="1" containsInteger="1" minValue="2024" maxValue="2026" count="3">
        <n v="2024"/>
        <n v="2025"/>
        <n v="2026"/>
      </sharedItems>
    </cacheField>
    <cacheField name="Months (Order Date)" numFmtId="0" databaseField="0">
      <fieldGroup base="1">
        <rangePr groupBy="months" startDate="2024-01-21T00:00:00" endDate="2026-12-31T00:00:00"/>
        <groupItems count="14">
          <s v="&lt;21-01-2024"/>
          <s v="Jan"/>
          <s v="Feb"/>
          <s v="Mar"/>
          <s v="Apr"/>
          <s v="May"/>
          <s v="Jun"/>
          <s v="Jul"/>
          <s v="Aug"/>
          <s v="Sep"/>
          <s v="Oct"/>
          <s v="Nov"/>
          <s v="Dec"/>
          <s v="&gt;31-12-2026"/>
        </groupItems>
      </fieldGroup>
    </cacheField>
    <cacheField name="Quarters (Order Date)" numFmtId="0" databaseField="0">
      <fieldGroup base="1">
        <rangePr groupBy="quarters" startDate="2024-01-21T00:00:00" endDate="2026-12-31T00:00:00"/>
        <groupItems count="6">
          <s v="&lt;21-01-2024"/>
          <s v="Qtr1"/>
          <s v="Qtr2"/>
          <s v="Qtr3"/>
          <s v="Qtr4"/>
          <s v="&gt;31-12-2026"/>
        </groupItems>
      </fieldGroup>
    </cacheField>
    <cacheField name="Years (Order Date)" numFmtId="0" databaseField="0">
      <fieldGroup base="1">
        <rangePr groupBy="years" startDate="2024-01-21T00:00:00" endDate="2026-12-31T00:00:00"/>
        <groupItems count="5">
          <s v="&lt;21-01-2024"/>
          <s v="2024"/>
          <s v="2025"/>
          <s v="2026"/>
          <s v="&gt;31-12-2026"/>
        </groupItems>
      </fieldGroup>
    </cacheField>
  </cacheFields>
  <extLst>
    <ext xmlns:x14="http://schemas.microsoft.com/office/spreadsheetml/2009/9/main" uri="{725AE2AE-9491-48be-B2B4-4EB974FC3084}">
      <x14:pivotCacheDefinition pivotCacheId="8699023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
  <r>
    <x v="0"/>
    <x v="0"/>
    <s v="Customer_3806"/>
    <x v="0"/>
    <x v="0"/>
    <n v="965"/>
    <s v="Delivered"/>
    <s v="Cash"/>
    <x v="0"/>
    <x v="0"/>
  </r>
  <r>
    <x v="1"/>
    <x v="1"/>
    <s v="Customer_1287"/>
    <x v="1"/>
    <x v="1"/>
    <n v="725"/>
    <s v="Delivered"/>
    <s v="Debit Card"/>
    <x v="1"/>
    <x v="0"/>
  </r>
  <r>
    <x v="2"/>
    <x v="2"/>
    <s v="Customer_5167"/>
    <x v="2"/>
    <x v="0"/>
    <n v="489"/>
    <s v="Cancelled"/>
    <s v="Credit Card"/>
    <x v="2"/>
    <x v="0"/>
  </r>
  <r>
    <x v="3"/>
    <x v="3"/>
    <s v="Customer_2818"/>
    <x v="1"/>
    <x v="2"/>
    <n v="1381"/>
    <s v="Cancelled"/>
    <s v="Cash"/>
    <x v="0"/>
    <x v="0"/>
  </r>
  <r>
    <x v="4"/>
    <x v="4"/>
    <s v="Customer_5649"/>
    <x v="3"/>
    <x v="3"/>
    <n v="489"/>
    <s v="Failed"/>
    <s v="UPI"/>
    <x v="3"/>
    <x v="0"/>
  </r>
  <r>
    <x v="5"/>
    <x v="5"/>
    <s v="Customer_6383"/>
    <x v="3"/>
    <x v="4"/>
    <n v="1452"/>
    <s v="Cancelled"/>
    <s v="Credit Card"/>
    <x v="4"/>
    <x v="0"/>
  </r>
  <r>
    <x v="6"/>
    <x v="6"/>
    <s v="Customer_9970"/>
    <x v="4"/>
    <x v="5"/>
    <n v="1046"/>
    <s v="Cancelled"/>
    <s v="Cash"/>
    <x v="5"/>
    <x v="0"/>
  </r>
  <r>
    <x v="7"/>
    <x v="0"/>
    <s v="Customer_2940"/>
    <x v="5"/>
    <x v="6"/>
    <n v="946"/>
    <s v="Failed"/>
    <s v="Debit Card"/>
    <x v="0"/>
    <x v="0"/>
  </r>
  <r>
    <x v="8"/>
    <x v="7"/>
    <s v="Customer_2067"/>
    <x v="6"/>
    <x v="5"/>
    <n v="564"/>
    <s v="Delivered"/>
    <s v="Cash"/>
    <x v="6"/>
    <x v="0"/>
  </r>
  <r>
    <x v="9"/>
    <x v="8"/>
    <s v="Customer_1989"/>
    <x v="7"/>
    <x v="0"/>
    <n v="288"/>
    <s v="Delivered"/>
    <s v="Cash"/>
    <x v="7"/>
    <x v="1"/>
  </r>
  <r>
    <x v="10"/>
    <x v="9"/>
    <s v="Customer_9480"/>
    <x v="8"/>
    <x v="7"/>
    <n v="1364"/>
    <s v="Delivered"/>
    <s v="Credit Card"/>
    <x v="8"/>
    <x v="1"/>
  </r>
  <r>
    <x v="11"/>
    <x v="10"/>
    <s v="Customer_8746"/>
    <x v="8"/>
    <x v="3"/>
    <n v="561"/>
    <s v="Cancelled"/>
    <s v="Cash"/>
    <x v="3"/>
    <x v="1"/>
  </r>
  <r>
    <x v="12"/>
    <x v="11"/>
    <s v="Customer_7143"/>
    <x v="1"/>
    <x v="0"/>
    <n v="1079"/>
    <s v="Delivered"/>
    <s v="Wallet"/>
    <x v="0"/>
    <x v="1"/>
  </r>
  <r>
    <x v="13"/>
    <x v="12"/>
    <s v="Customer_4107"/>
    <x v="3"/>
    <x v="8"/>
    <n v="1109"/>
    <s v="Delivered"/>
    <s v="Credit Card"/>
    <x v="1"/>
    <x v="1"/>
  </r>
  <r>
    <x v="14"/>
    <x v="13"/>
    <s v="Customer_5633"/>
    <x v="0"/>
    <x v="9"/>
    <n v="835"/>
    <s v="Delivered"/>
    <s v="Wallet"/>
    <x v="9"/>
    <x v="1"/>
  </r>
  <r>
    <x v="15"/>
    <x v="14"/>
    <s v="Customer_8461"/>
    <x v="1"/>
    <x v="1"/>
    <n v="952"/>
    <s v="Cancelled"/>
    <s v="Cash"/>
    <x v="6"/>
    <x v="1"/>
  </r>
  <r>
    <x v="16"/>
    <x v="15"/>
    <s v="Customer_6219"/>
    <x v="7"/>
    <x v="4"/>
    <n v="1038"/>
    <s v="Cancelled"/>
    <s v="Wallet"/>
    <x v="6"/>
    <x v="1"/>
  </r>
  <r>
    <x v="17"/>
    <x v="16"/>
    <s v="Customer_2174"/>
    <x v="9"/>
    <x v="5"/>
    <n v="913"/>
    <s v="Delivered"/>
    <s v="Debit Card"/>
    <x v="8"/>
    <x v="1"/>
  </r>
  <r>
    <x v="18"/>
    <x v="17"/>
    <s v="Customer_4537"/>
    <x v="0"/>
    <x v="0"/>
    <n v="532"/>
    <s v="Delivered"/>
    <s v="Debit Card"/>
    <x v="2"/>
    <x v="1"/>
  </r>
  <r>
    <x v="19"/>
    <x v="18"/>
    <s v="Customer_8591"/>
    <x v="6"/>
    <x v="6"/>
    <n v="364"/>
    <s v="Delivered"/>
    <s v="Cash"/>
    <x v="1"/>
    <x v="1"/>
  </r>
  <r>
    <x v="20"/>
    <x v="19"/>
    <s v="Customer_8780"/>
    <x v="4"/>
    <x v="3"/>
    <n v="587"/>
    <s v="Delivered"/>
    <s v="Wallet"/>
    <x v="10"/>
    <x v="1"/>
  </r>
  <r>
    <x v="21"/>
    <x v="20"/>
    <s v="Customer_2688"/>
    <x v="7"/>
    <x v="7"/>
    <n v="683"/>
    <s v="Cancelled"/>
    <s v="Cash"/>
    <x v="4"/>
    <x v="1"/>
  </r>
  <r>
    <x v="22"/>
    <x v="21"/>
    <s v="Customer_7552"/>
    <x v="10"/>
    <x v="3"/>
    <n v="1623"/>
    <s v="Delivered"/>
    <s v="Debit Card"/>
    <x v="10"/>
    <x v="1"/>
  </r>
  <r>
    <x v="23"/>
    <x v="22"/>
    <s v="Customer_1643"/>
    <x v="7"/>
    <x v="2"/>
    <n v="439"/>
    <s v="Cancelled"/>
    <s v="Wallet"/>
    <x v="9"/>
    <x v="1"/>
  </r>
  <r>
    <x v="24"/>
    <x v="23"/>
    <s v="Customer_5346"/>
    <x v="4"/>
    <x v="6"/>
    <n v="1743"/>
    <s v="Delivered"/>
    <s v="Debit Card"/>
    <x v="8"/>
    <x v="1"/>
  </r>
  <r>
    <x v="25"/>
    <x v="24"/>
    <s v="Customer_6843"/>
    <x v="4"/>
    <x v="8"/>
    <n v="2035"/>
    <s v="Cancelled"/>
    <s v="Wallet"/>
    <x v="5"/>
    <x v="1"/>
  </r>
  <r>
    <x v="26"/>
    <x v="25"/>
    <s v="Customer_9044"/>
    <x v="4"/>
    <x v="9"/>
    <n v="598"/>
    <s v="Delivered"/>
    <s v="Credit Card"/>
    <x v="2"/>
    <x v="1"/>
  </r>
  <r>
    <x v="27"/>
    <x v="26"/>
    <s v="Customer_5974"/>
    <x v="4"/>
    <x v="6"/>
    <n v="1997"/>
    <s v="Delivered"/>
    <s v="Cash"/>
    <x v="7"/>
    <x v="1"/>
  </r>
  <r>
    <x v="28"/>
    <x v="27"/>
    <s v="Customer_3619"/>
    <x v="1"/>
    <x v="1"/>
    <n v="773"/>
    <s v="Cancelled"/>
    <s v="Wallet"/>
    <x v="1"/>
    <x v="1"/>
  </r>
  <r>
    <x v="29"/>
    <x v="28"/>
    <s v="Customer_1554"/>
    <x v="0"/>
    <x v="2"/>
    <n v="709"/>
    <s v="Delivered"/>
    <s v="Wallet"/>
    <x v="11"/>
    <x v="2"/>
  </r>
  <r>
    <x v="30"/>
    <x v="29"/>
    <s v="Customer_7069"/>
    <x v="1"/>
    <x v="1"/>
    <n v="1623"/>
    <s v="Cancelled"/>
    <s v="Credit Card"/>
    <x v="11"/>
    <x v="2"/>
  </r>
  <r>
    <x v="31"/>
    <x v="30"/>
    <s v="Customer_2843"/>
    <x v="1"/>
    <x v="6"/>
    <n v="930"/>
    <s v="Failed"/>
    <s v="UPI"/>
    <x v="9"/>
    <x v="1"/>
  </r>
  <r>
    <x v="32"/>
    <x v="31"/>
    <s v="Customer_1532"/>
    <x v="2"/>
    <x v="5"/>
    <n v="861"/>
    <s v="Cancelled"/>
    <s v="Credit Card"/>
    <x v="4"/>
    <x v="2"/>
  </r>
  <r>
    <x v="33"/>
    <x v="32"/>
    <s v="Customer_8831"/>
    <x v="10"/>
    <x v="5"/>
    <n v="583"/>
    <s v="Cancelled"/>
    <s v="Wallet"/>
    <x v="2"/>
    <x v="2"/>
  </r>
  <r>
    <x v="34"/>
    <x v="33"/>
    <s v="Customer_4492"/>
    <x v="4"/>
    <x v="6"/>
    <n v="610"/>
    <s v="Delivered"/>
    <s v="UPI"/>
    <x v="4"/>
    <x v="2"/>
  </r>
  <r>
    <x v="35"/>
    <x v="34"/>
    <s v="Customer_1633"/>
    <x v="0"/>
    <x v="4"/>
    <n v="877"/>
    <s v="Cancelled"/>
    <s v="Debit Card"/>
    <x v="9"/>
    <x v="2"/>
  </r>
  <r>
    <x v="36"/>
    <x v="35"/>
    <s v="Customer_6803"/>
    <x v="9"/>
    <x v="3"/>
    <n v="1623"/>
    <s v="Delivered"/>
    <s v="Cash"/>
    <x v="11"/>
    <x v="2"/>
  </r>
  <r>
    <x v="37"/>
    <x v="36"/>
    <s v="Customer_4282"/>
    <x v="1"/>
    <x v="0"/>
    <n v="440"/>
    <s v="Delivered"/>
    <s v="UPI"/>
    <x v="1"/>
    <x v="2"/>
  </r>
  <r>
    <x v="38"/>
    <x v="37"/>
    <s v="Customer_3180"/>
    <x v="4"/>
    <x v="6"/>
    <n v="794"/>
    <s v="Cancelled"/>
    <s v="Debit Card"/>
    <x v="11"/>
    <x v="2"/>
  </r>
  <r>
    <x v="39"/>
    <x v="38"/>
    <s v="Customer_1956"/>
    <x v="11"/>
    <x v="7"/>
    <n v="396"/>
    <s v="Failed"/>
    <s v="Wallet"/>
    <x v="2"/>
    <x v="2"/>
  </r>
  <r>
    <x v="40"/>
    <x v="39"/>
    <s v="Customer_2323"/>
    <x v="11"/>
    <x v="3"/>
    <n v="567"/>
    <s v="Delivered"/>
    <s v="UPI"/>
    <x v="8"/>
    <x v="2"/>
  </r>
  <r>
    <x v="41"/>
    <x v="40"/>
    <s v="Customer_9410"/>
    <x v="7"/>
    <x v="7"/>
    <n v="1160"/>
    <s v="Cancelled"/>
    <s v="Credit Card"/>
    <x v="6"/>
    <x v="2"/>
  </r>
  <r>
    <x v="42"/>
    <x v="41"/>
    <s v="Customer_4056"/>
    <x v="0"/>
    <x v="3"/>
    <n v="513"/>
    <s v="Delivered"/>
    <s v="Cash"/>
    <x v="8"/>
    <x v="2"/>
  </r>
  <r>
    <x v="43"/>
    <x v="42"/>
    <s v="Customer_5482"/>
    <x v="9"/>
    <x v="8"/>
    <n v="1415"/>
    <s v="Failed"/>
    <s v="Credit Card"/>
    <x v="6"/>
    <x v="2"/>
  </r>
  <r>
    <x v="44"/>
    <x v="43"/>
    <s v="Customer_3718"/>
    <x v="2"/>
    <x v="0"/>
    <n v="511"/>
    <s v="Cancelled"/>
    <s v="Credit Card"/>
    <x v="5"/>
    <x v="2"/>
  </r>
  <r>
    <x v="45"/>
    <x v="44"/>
    <s v="Customer_4372"/>
    <x v="12"/>
    <x v="3"/>
    <n v="620"/>
    <s v="Delivered"/>
    <s v="Cash"/>
    <x v="8"/>
    <x v="2"/>
  </r>
  <r>
    <x v="46"/>
    <x v="45"/>
    <s v="Customer_5209"/>
    <x v="10"/>
    <x v="0"/>
    <n v="303"/>
    <s v="Cancelled"/>
    <s v="Credit Card"/>
    <x v="9"/>
    <x v="2"/>
  </r>
  <r>
    <x v="47"/>
    <x v="46"/>
    <s v="Customer_4657"/>
    <x v="12"/>
    <x v="8"/>
    <n v="1416"/>
    <s v="Delivered"/>
    <s v="Wallet"/>
    <x v="10"/>
    <x v="2"/>
  </r>
  <r>
    <x v="48"/>
    <x v="47"/>
    <s v="Customer_3870"/>
    <x v="12"/>
    <x v="5"/>
    <n v="1311"/>
    <s v="Cancelled"/>
    <s v="Credit Card"/>
    <x v="3"/>
    <x v="2"/>
  </r>
  <r>
    <x v="49"/>
    <x v="48"/>
    <s v="Customer_9251"/>
    <x v="0"/>
    <x v="6"/>
    <n v="402"/>
    <s v="Delivered"/>
    <s v="Wallet"/>
    <x v="8"/>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76D1B8-955C-456F-887A-11FA1DC15852}" name="PivotTable1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4:B99" firstHeaderRow="1" firstDataRow="1" firstDataCol="1"/>
  <pivotFields count="13">
    <pivotField axis="axisRow" showAll="0">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t="default"/>
      </items>
    </pivotField>
    <pivotField numFmtId="14" showAll="0">
      <items count="50">
        <item x="6"/>
        <item x="4"/>
        <item x="0"/>
        <item x="3"/>
        <item x="7"/>
        <item x="5"/>
        <item x="2"/>
        <item x="1"/>
        <item x="24"/>
        <item x="10"/>
        <item x="11"/>
        <item x="14"/>
        <item x="15"/>
        <item x="13"/>
        <item x="22"/>
        <item x="30"/>
        <item x="20"/>
        <item x="8"/>
        <item x="26"/>
        <item x="25"/>
        <item x="17"/>
        <item x="21"/>
        <item x="19"/>
        <item x="16"/>
        <item x="23"/>
        <item x="9"/>
        <item x="18"/>
        <item x="27"/>
        <item x="12"/>
        <item x="43"/>
        <item x="28"/>
        <item x="35"/>
        <item x="37"/>
        <item x="29"/>
        <item x="47"/>
        <item x="40"/>
        <item x="42"/>
        <item x="45"/>
        <item x="34"/>
        <item x="31"/>
        <item x="33"/>
        <item x="38"/>
        <item x="32"/>
        <item x="46"/>
        <item x="41"/>
        <item x="48"/>
        <item x="39"/>
        <item x="44"/>
        <item x="36"/>
        <item t="default"/>
      </items>
    </pivotField>
    <pivotField showAll="0"/>
    <pivotField showAll="0">
      <items count="15">
        <item x="1"/>
        <item m="1" x="13"/>
        <item x="6"/>
        <item x="10"/>
        <item x="11"/>
        <item x="4"/>
        <item x="9"/>
        <item x="12"/>
        <item x="0"/>
        <item x="5"/>
        <item x="3"/>
        <item x="2"/>
        <item x="7"/>
        <item x="8"/>
        <item t="default"/>
      </items>
    </pivotField>
    <pivotField showAll="0">
      <items count="11">
        <item x="1"/>
        <item x="4"/>
        <item x="2"/>
        <item x="9"/>
        <item x="0"/>
        <item x="7"/>
        <item x="6"/>
        <item x="3"/>
        <item x="8"/>
        <item x="5"/>
        <item t="default"/>
      </items>
    </pivotField>
    <pivotField dataField="1" showAll="0"/>
    <pivotField showAll="0"/>
    <pivotField showAll="0"/>
    <pivotField showAll="0">
      <items count="13">
        <item x="5"/>
        <item x="11"/>
        <item x="3"/>
        <item x="0"/>
        <item x="6"/>
        <item x="9"/>
        <item x="4"/>
        <item x="7"/>
        <item x="2"/>
        <item x="10"/>
        <item x="8"/>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sd="0" x="2"/>
        <item sd="0" x="3"/>
        <item sd="0" x="4"/>
        <item sd="0" x="5"/>
        <item t="default" sd="0"/>
      </items>
    </pivotField>
    <pivotField showAll="0">
      <items count="6">
        <item sd="0" x="0"/>
        <item sd="0" x="1"/>
        <item sd="0" x="2"/>
        <item sd="0" x="3"/>
        <item sd="0" x="4"/>
        <item t="default"/>
      </items>
    </pivotField>
  </pivotFields>
  <rowFields count="2">
    <field x="11"/>
    <field x="0"/>
  </rowFields>
  <rowItems count="15">
    <i>
      <x v="1"/>
    </i>
    <i r="1">
      <x v="4"/>
    </i>
    <i r="1">
      <x v="6"/>
    </i>
    <i r="1">
      <x v="11"/>
    </i>
    <i r="1">
      <x v="25"/>
    </i>
    <i r="1">
      <x v="29"/>
    </i>
    <i r="1">
      <x v="30"/>
    </i>
    <i r="1">
      <x v="36"/>
    </i>
    <i r="1">
      <x v="38"/>
    </i>
    <i r="1">
      <x v="44"/>
    </i>
    <i r="1">
      <x v="48"/>
    </i>
    <i>
      <x v="2"/>
    </i>
    <i>
      <x v="3"/>
    </i>
    <i>
      <x v="4"/>
    </i>
    <i t="grand">
      <x/>
    </i>
  </rowItems>
  <colItems count="1">
    <i/>
  </colItems>
  <dataFields count="1">
    <dataField name="Average of Order Amount (INR)"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81FB17D-8D7B-464E-A552-EEE89C870AB7}" name="PivotTable10"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2:B75" firstHeaderRow="1" firstDataRow="1" firstDataCol="1"/>
  <pivotFields count="13">
    <pivotField showAll="0"/>
    <pivotField numFmtId="14" showAll="0">
      <items count="50">
        <item x="6"/>
        <item x="4"/>
        <item x="0"/>
        <item x="3"/>
        <item x="7"/>
        <item x="5"/>
        <item x="2"/>
        <item x="1"/>
        <item x="24"/>
        <item x="10"/>
        <item x="11"/>
        <item x="14"/>
        <item x="15"/>
        <item x="13"/>
        <item x="22"/>
        <item x="30"/>
        <item x="20"/>
        <item x="8"/>
        <item x="26"/>
        <item x="25"/>
        <item x="17"/>
        <item x="21"/>
        <item x="19"/>
        <item x="16"/>
        <item x="23"/>
        <item x="9"/>
        <item x="18"/>
        <item x="27"/>
        <item x="12"/>
        <item x="43"/>
        <item x="28"/>
        <item x="35"/>
        <item x="37"/>
        <item x="29"/>
        <item x="47"/>
        <item x="40"/>
        <item x="42"/>
        <item x="45"/>
        <item x="34"/>
        <item x="31"/>
        <item x="33"/>
        <item x="38"/>
        <item x="32"/>
        <item x="46"/>
        <item x="41"/>
        <item x="48"/>
        <item x="39"/>
        <item x="44"/>
        <item x="36"/>
        <item t="default"/>
      </items>
    </pivotField>
    <pivotField showAll="0"/>
    <pivotField showAll="0">
      <items count="15">
        <item x="1"/>
        <item m="1" x="13"/>
        <item x="6"/>
        <item x="10"/>
        <item x="11"/>
        <item x="4"/>
        <item x="9"/>
        <item x="12"/>
        <item x="0"/>
        <item x="5"/>
        <item x="3"/>
        <item x="2"/>
        <item x="7"/>
        <item x="8"/>
        <item t="default"/>
      </items>
    </pivotField>
    <pivotField showAll="0">
      <items count="11">
        <item x="1"/>
        <item x="4"/>
        <item x="2"/>
        <item x="9"/>
        <item x="0"/>
        <item x="7"/>
        <item x="6"/>
        <item x="3"/>
        <item x="8"/>
        <item x="5"/>
        <item t="default"/>
      </items>
    </pivotField>
    <pivotField dataField="1" showAll="0"/>
    <pivotField showAll="0"/>
    <pivotField showAll="0"/>
    <pivotField axis="axisRow" showAll="0">
      <items count="13">
        <item x="5"/>
        <item x="11"/>
        <item x="3"/>
        <item x="0"/>
        <item x="6"/>
        <item x="9"/>
        <item x="4"/>
        <item x="7"/>
        <item x="2"/>
        <item x="10"/>
        <item x="8"/>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Order Amount (INR)"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DC12719-C01F-4969-AFE8-994BB7970A87}" name="PivotTable9"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B54" firstHeaderRow="1" firstDataRow="1" firstDataCol="1"/>
  <pivotFields count="13">
    <pivotField showAll="0"/>
    <pivotField numFmtId="14" showAll="0">
      <items count="50">
        <item x="6"/>
        <item x="4"/>
        <item x="0"/>
        <item x="3"/>
        <item x="7"/>
        <item x="5"/>
        <item x="2"/>
        <item x="1"/>
        <item x="24"/>
        <item x="10"/>
        <item x="11"/>
        <item x="14"/>
        <item x="15"/>
        <item x="13"/>
        <item x="22"/>
        <item x="30"/>
        <item x="20"/>
        <item x="8"/>
        <item x="26"/>
        <item x="25"/>
        <item x="17"/>
        <item x="21"/>
        <item x="19"/>
        <item x="16"/>
        <item x="23"/>
        <item x="9"/>
        <item x="18"/>
        <item x="27"/>
        <item x="12"/>
        <item x="43"/>
        <item x="28"/>
        <item x="35"/>
        <item x="37"/>
        <item x="29"/>
        <item x="47"/>
        <item x="40"/>
        <item x="42"/>
        <item x="45"/>
        <item x="34"/>
        <item x="31"/>
        <item x="33"/>
        <item x="38"/>
        <item x="32"/>
        <item x="46"/>
        <item x="41"/>
        <item x="48"/>
        <item x="39"/>
        <item x="44"/>
        <item x="36"/>
        <item t="default"/>
      </items>
    </pivotField>
    <pivotField showAll="0"/>
    <pivotField showAll="0"/>
    <pivotField showAll="0"/>
    <pivotField dataField="1" showAll="0"/>
    <pivotField showAll="0"/>
    <pivotField showAll="0"/>
    <pivotField axis="axisRow" showAll="0">
      <items count="13">
        <item x="5"/>
        <item x="11"/>
        <item x="3"/>
        <item x="0"/>
        <item x="6"/>
        <item x="9"/>
        <item x="4"/>
        <item x="7"/>
        <item x="2"/>
        <item x="10"/>
        <item x="8"/>
        <item x="1"/>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Average of Order Amount (INR)"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8A2B1-B37B-4935-A2E2-1E18561B01FA}"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7:C33" firstHeaderRow="1" firstDataRow="2" firstDataCol="1"/>
  <pivotFields count="13">
    <pivotField showAll="0"/>
    <pivotField numFmtId="14" showAll="0">
      <items count="50">
        <item x="6"/>
        <item x="4"/>
        <item x="0"/>
        <item x="3"/>
        <item x="7"/>
        <item x="5"/>
        <item x="2"/>
        <item x="1"/>
        <item x="24"/>
        <item x="10"/>
        <item x="11"/>
        <item x="14"/>
        <item x="15"/>
        <item x="13"/>
        <item x="22"/>
        <item x="30"/>
        <item x="20"/>
        <item x="8"/>
        <item x="26"/>
        <item x="25"/>
        <item x="17"/>
        <item x="21"/>
        <item x="19"/>
        <item x="16"/>
        <item x="23"/>
        <item x="9"/>
        <item x="18"/>
        <item x="27"/>
        <item x="12"/>
        <item x="43"/>
        <item x="28"/>
        <item x="35"/>
        <item x="37"/>
        <item x="29"/>
        <item x="47"/>
        <item x="40"/>
        <item x="42"/>
        <item x="45"/>
        <item x="34"/>
        <item x="31"/>
        <item x="33"/>
        <item x="38"/>
        <item x="32"/>
        <item x="46"/>
        <item x="41"/>
        <item x="48"/>
        <item x="39"/>
        <item x="44"/>
        <item x="36"/>
        <item t="default"/>
      </items>
    </pivotField>
    <pivotField showAll="0"/>
    <pivotField showAll="0"/>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1"/>
  </rowFields>
  <rowItems count="5">
    <i>
      <x v="1"/>
    </i>
    <i>
      <x v="2"/>
    </i>
    <i>
      <x v="3"/>
    </i>
    <i>
      <x v="4"/>
    </i>
    <i t="grand">
      <x/>
    </i>
  </rowItems>
  <colFields count="1">
    <field x="12"/>
  </colFields>
  <colItems count="2">
    <i>
      <x v="2"/>
    </i>
    <i t="grand">
      <x/>
    </i>
  </colItems>
  <dataFields count="1">
    <dataField name="Sum of Order Amount (INR)" fld="5" baseField="0" baseItem="0"/>
  </dataFields>
  <pivotTableStyleInfo name="PivotStyleLight16" showRowHeaders="1" showColHeaders="1" showRowStripes="0" showColStripes="0" showLastColumn="1"/>
  <filters count="1">
    <filter fld="1" type="lastYear" evalOrder="-1" id="2">
      <autoFilter ref="A1">
        <filterColumn colId="0">
          <dynamicFilter type="lastYear" val="45658" maxVal="4602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33FCFDB-DC43-4653-85FE-7A54B8BE840B}"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E19" firstHeaderRow="1" firstDataRow="2" firstDataCol="1"/>
  <pivotFields count="13">
    <pivotField showAll="0"/>
    <pivotField numFmtId="14" showAll="0">
      <items count="50">
        <item x="6"/>
        <item x="4"/>
        <item x="0"/>
        <item x="3"/>
        <item x="7"/>
        <item x="5"/>
        <item x="2"/>
        <item x="1"/>
        <item x="24"/>
        <item x="10"/>
        <item x="11"/>
        <item x="14"/>
        <item x="15"/>
        <item x="13"/>
        <item x="22"/>
        <item x="30"/>
        <item x="20"/>
        <item x="8"/>
        <item x="26"/>
        <item x="25"/>
        <item x="17"/>
        <item x="21"/>
        <item x="19"/>
        <item x="16"/>
        <item x="23"/>
        <item x="9"/>
        <item x="18"/>
        <item x="27"/>
        <item x="12"/>
        <item x="43"/>
        <item x="28"/>
        <item x="35"/>
        <item x="37"/>
        <item x="29"/>
        <item x="47"/>
        <item x="40"/>
        <item x="42"/>
        <item x="45"/>
        <item x="34"/>
        <item x="31"/>
        <item x="33"/>
        <item x="38"/>
        <item x="32"/>
        <item x="46"/>
        <item x="41"/>
        <item x="48"/>
        <item x="39"/>
        <item x="44"/>
        <item x="36"/>
        <item t="default"/>
      </items>
    </pivotField>
    <pivotField showAll="0"/>
    <pivotField showAll="0"/>
    <pivotField showAll="0"/>
    <pivotField dataField="1" showAll="0"/>
    <pivotField showAll="0"/>
    <pivotField showAll="0"/>
    <pivotField axis="axisRow" showAll="0">
      <items count="13">
        <item x="5"/>
        <item x="11"/>
        <item x="3"/>
        <item x="0"/>
        <item x="6"/>
        <item x="9"/>
        <item x="4"/>
        <item x="7"/>
        <item x="2"/>
        <item x="10"/>
        <item x="8"/>
        <item x="1"/>
        <item t="default"/>
      </items>
    </pivotField>
    <pivotField axis="axisCol" showAll="0">
      <items count="4">
        <item x="0"/>
        <item x="1"/>
        <item x="2"/>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13">
    <i>
      <x/>
    </i>
    <i>
      <x v="1"/>
    </i>
    <i>
      <x v="2"/>
    </i>
    <i>
      <x v="3"/>
    </i>
    <i>
      <x v="4"/>
    </i>
    <i>
      <x v="5"/>
    </i>
    <i>
      <x v="6"/>
    </i>
    <i>
      <x v="7"/>
    </i>
    <i>
      <x v="8"/>
    </i>
    <i>
      <x v="9"/>
    </i>
    <i>
      <x v="10"/>
    </i>
    <i>
      <x v="11"/>
    </i>
    <i t="grand">
      <x/>
    </i>
  </rowItems>
  <colFields count="1">
    <field x="9"/>
  </colFields>
  <colItems count="4">
    <i>
      <x/>
    </i>
    <i>
      <x v="1"/>
    </i>
    <i>
      <x v="2"/>
    </i>
    <i t="grand">
      <x/>
    </i>
  </colItems>
  <dataFields count="1">
    <dataField name="Sum of Order Amount (INR)"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taurant" xr10:uid="{60646BAC-8702-4578-988D-BD9EAA0D3054}" sourceName="Restaurant">
  <pivotTables>
    <pivotTable tabId="2" name="PivotTable10"/>
    <pivotTable tabId="2" name="PivotTable12"/>
  </pivotTables>
  <data>
    <tabular pivotCacheId="869902389">
      <items count="14">
        <i x="1" s="1"/>
        <i x="6" s="1"/>
        <i x="10" s="1"/>
        <i x="11" s="1"/>
        <i x="4" s="1"/>
        <i x="9" s="1"/>
        <i x="12" s="1"/>
        <i x="0" s="1"/>
        <i x="5" s="1"/>
        <i x="3" s="1"/>
        <i x="2" s="1"/>
        <i x="7" s="1"/>
        <i x="8" s="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CED9155-4913-40A3-8D0A-AF4902EBEAC8}" sourceName="City">
  <pivotTables>
    <pivotTable tabId="2" name="PivotTable10"/>
    <pivotTable tabId="2" name="PivotTable12"/>
  </pivotTables>
  <data>
    <tabular pivotCacheId="869902389">
      <items count="10">
        <i x="1" s="1"/>
        <i x="4" s="1"/>
        <i x="2" s="1"/>
        <i x="9" s="1"/>
        <i x="0" s="1"/>
        <i x="7" s="1"/>
        <i x="6" s="1"/>
        <i x="3" s="1"/>
        <i x="8"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taurant" xr10:uid="{0F749619-0A06-4A4B-B483-6B1386461244}" cache="Slicer_Restaurant" caption="Restaurant" startItem="6" rowHeight="230298"/>
  <slicer name="City" xr10:uid="{4AE1AADA-6360-4BAE-9B59-C12504BA34A4}" cache="Slicer_City" caption="City" rowHeight="230298"/>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1571812-9A2A-48F2-A372-366347E72250}" name="Table1" displayName="Table1" ref="A1:J51" totalsRowShown="0" headerRowDxfId="13" dataDxfId="11" headerRowBorderDxfId="12" tableBorderDxfId="10">
  <autoFilter ref="A1:J51" xr:uid="{D1571812-9A2A-48F2-A372-366347E72250}"/>
  <tableColumns count="10">
    <tableColumn id="1" xr3:uid="{CB772EDF-C1C6-4DD1-8968-946A2AF9B536}" name="Order ID" dataDxfId="9"/>
    <tableColumn id="2" xr3:uid="{19A05E2A-FC5A-43BA-92F6-059E1B46A5C3}" name="Order Date" dataDxfId="8"/>
    <tableColumn id="3" xr3:uid="{9ADD1E48-7BDE-4F26-A2BB-EF31357AD270}" name="Customer" dataDxfId="7"/>
    <tableColumn id="4" xr3:uid="{309521ED-26ED-4C90-BE58-839928156D19}" name="Restaurant" dataDxfId="6"/>
    <tableColumn id="5" xr3:uid="{63EAEAA8-6894-4FF7-8327-72817C894CEA}" name="City" dataDxfId="5"/>
    <tableColumn id="6" xr3:uid="{85210FF9-7C4A-4FF1-96EC-B2868C8DF96B}" name="Order Amount (INR)" dataDxfId="4"/>
    <tableColumn id="7" xr3:uid="{7031E230-262D-4CE3-8CAD-0AF261D56228}" name="Status" dataDxfId="3"/>
    <tableColumn id="8" xr3:uid="{A3DD23A4-9A99-49A5-9C19-30EE0A87BF58}" name="Payment Method" dataDxfId="2"/>
    <tableColumn id="9" xr3:uid="{CAA0918C-60C4-4274-BBF6-ED76CEC55AD7}" name="Months" dataDxfId="1">
      <calculatedColumnFormula>TEXT(Table1[[#This Row],[Order Date]],"mmm")</calculatedColumnFormula>
    </tableColumn>
    <tableColumn id="10" xr3:uid="{0453C165-0401-46DB-989B-A04026000FEF}" name="Years" dataDxfId="0">
      <calculatedColumnFormula>YEAR(Table1[[#This Row],[Order Date]])</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AC481-2852-4D8D-BC7A-AFC4ECB9D448}">
  <dimension ref="A1:J51"/>
  <sheetViews>
    <sheetView workbookViewId="0">
      <selection activeCell="D39" sqref="D39"/>
    </sheetView>
  </sheetViews>
  <sheetFormatPr defaultRowHeight="14.3" x14ac:dyDescent="0.25"/>
  <cols>
    <col min="1" max="1" width="10.7109375" customWidth="1"/>
    <col min="2" max="2" width="21.5703125" customWidth="1"/>
    <col min="3" max="3" width="22.7109375" customWidth="1"/>
    <col min="4" max="4" width="22.28515625" customWidth="1"/>
    <col min="5" max="5" width="23" customWidth="1"/>
    <col min="6" max="6" width="24.28515625" customWidth="1"/>
    <col min="7" max="7" width="19.5703125" customWidth="1"/>
    <col min="8" max="8" width="18.7109375" customWidth="1"/>
  </cols>
  <sheetData>
    <row r="1" spans="1:10" x14ac:dyDescent="0.25">
      <c r="A1" s="3" t="s">
        <v>0</v>
      </c>
      <c r="B1" s="4" t="s">
        <v>1</v>
      </c>
      <c r="C1" s="3" t="s">
        <v>2</v>
      </c>
      <c r="D1" s="3" t="s">
        <v>3</v>
      </c>
      <c r="E1" s="3" t="s">
        <v>4</v>
      </c>
      <c r="F1" s="3" t="s">
        <v>5</v>
      </c>
      <c r="G1" s="3" t="s">
        <v>6</v>
      </c>
      <c r="H1" s="3" t="s">
        <v>7</v>
      </c>
      <c r="I1" s="3" t="s">
        <v>138</v>
      </c>
      <c r="J1" s="3" t="s">
        <v>139</v>
      </c>
    </row>
    <row r="2" spans="1:10" x14ac:dyDescent="0.25">
      <c r="A2" s="1" t="s">
        <v>8</v>
      </c>
      <c r="B2" s="2">
        <v>45395</v>
      </c>
      <c r="C2" s="1" t="s">
        <v>9</v>
      </c>
      <c r="D2" s="1" t="s">
        <v>10</v>
      </c>
      <c r="E2" s="1" t="s">
        <v>11</v>
      </c>
      <c r="F2" s="1">
        <v>965</v>
      </c>
      <c r="G2" s="1" t="s">
        <v>12</v>
      </c>
      <c r="H2" s="1" t="s">
        <v>13</v>
      </c>
      <c r="I2" s="1" t="str">
        <f>TEXT(Table1[[#This Row],[Order Date]],"mmm")</f>
        <v>Apr</v>
      </c>
      <c r="J2" s="1">
        <f>YEAR(Table1[[#This Row],[Order Date]])</f>
        <v>2024</v>
      </c>
    </row>
    <row r="3" spans="1:10" x14ac:dyDescent="0.25">
      <c r="A3" s="1" t="s">
        <v>14</v>
      </c>
      <c r="B3" s="2">
        <v>45641</v>
      </c>
      <c r="C3" s="1" t="s">
        <v>15</v>
      </c>
      <c r="D3" s="1" t="s">
        <v>169</v>
      </c>
      <c r="E3" s="1" t="s">
        <v>16</v>
      </c>
      <c r="F3" s="1">
        <v>725</v>
      </c>
      <c r="G3" s="1" t="s">
        <v>12</v>
      </c>
      <c r="H3" s="1" t="s">
        <v>17</v>
      </c>
      <c r="I3" s="1" t="str">
        <f>TEXT(Table1[[#This Row],[Order Date]],"mmm")</f>
        <v>Dec</v>
      </c>
      <c r="J3" s="1">
        <f>YEAR(Table1[[#This Row],[Order Date]])</f>
        <v>2024</v>
      </c>
    </row>
    <row r="4" spans="1:10" x14ac:dyDescent="0.25">
      <c r="A4" s="1" t="s">
        <v>18</v>
      </c>
      <c r="B4" s="2">
        <v>45563</v>
      </c>
      <c r="C4" s="1" t="s">
        <v>19</v>
      </c>
      <c r="D4" s="1" t="s">
        <v>20</v>
      </c>
      <c r="E4" s="1" t="s">
        <v>11</v>
      </c>
      <c r="F4" s="1">
        <v>489</v>
      </c>
      <c r="G4" s="1" t="s">
        <v>21</v>
      </c>
      <c r="H4" s="1" t="s">
        <v>22</v>
      </c>
      <c r="I4" s="1" t="str">
        <f>TEXT(Table1[[#This Row],[Order Date]],"mmm")</f>
        <v>Sep</v>
      </c>
      <c r="J4" s="1">
        <f>YEAR(Table1[[#This Row],[Order Date]])</f>
        <v>2024</v>
      </c>
    </row>
    <row r="5" spans="1:10" x14ac:dyDescent="0.25">
      <c r="A5" s="1" t="s">
        <v>23</v>
      </c>
      <c r="B5" s="2">
        <v>45399</v>
      </c>
      <c r="C5" s="1" t="s">
        <v>24</v>
      </c>
      <c r="D5" s="1" t="s">
        <v>169</v>
      </c>
      <c r="E5" s="1" t="s">
        <v>25</v>
      </c>
      <c r="F5" s="1">
        <v>1381</v>
      </c>
      <c r="G5" s="1" t="s">
        <v>21</v>
      </c>
      <c r="H5" s="1" t="s">
        <v>13</v>
      </c>
      <c r="I5" s="1" t="str">
        <f>TEXT(Table1[[#This Row],[Order Date]],"mmm")</f>
        <v>Apr</v>
      </c>
      <c r="J5" s="1">
        <f>YEAR(Table1[[#This Row],[Order Date]])</f>
        <v>2024</v>
      </c>
    </row>
    <row r="6" spans="1:10" x14ac:dyDescent="0.25">
      <c r="A6" s="1" t="s">
        <v>26</v>
      </c>
      <c r="B6" s="2">
        <v>45364</v>
      </c>
      <c r="C6" s="1" t="s">
        <v>27</v>
      </c>
      <c r="D6" s="1" t="s">
        <v>28</v>
      </c>
      <c r="E6" s="1" t="s">
        <v>29</v>
      </c>
      <c r="F6" s="1">
        <v>489</v>
      </c>
      <c r="G6" s="1" t="s">
        <v>30</v>
      </c>
      <c r="H6" s="1" t="s">
        <v>31</v>
      </c>
      <c r="I6" s="1" t="str">
        <f>TEXT(Table1[[#This Row],[Order Date]],"mmm")</f>
        <v>Mar</v>
      </c>
      <c r="J6" s="1">
        <f>YEAR(Table1[[#This Row],[Order Date]])</f>
        <v>2024</v>
      </c>
    </row>
    <row r="7" spans="1:10" x14ac:dyDescent="0.25">
      <c r="A7" s="1" t="s">
        <v>32</v>
      </c>
      <c r="B7" s="2">
        <v>45481</v>
      </c>
      <c r="C7" s="1" t="s">
        <v>33</v>
      </c>
      <c r="D7" s="1" t="s">
        <v>28</v>
      </c>
      <c r="E7" s="1" t="s">
        <v>34</v>
      </c>
      <c r="F7" s="1">
        <v>1452</v>
      </c>
      <c r="G7" s="1" t="s">
        <v>21</v>
      </c>
      <c r="H7" s="1" t="s">
        <v>22</v>
      </c>
      <c r="I7" s="1" t="str">
        <f>TEXT(Table1[[#This Row],[Order Date]],"mmm")</f>
        <v>Jul</v>
      </c>
      <c r="J7" s="1">
        <f>YEAR(Table1[[#This Row],[Order Date]])</f>
        <v>2024</v>
      </c>
    </row>
    <row r="8" spans="1:10" x14ac:dyDescent="0.25">
      <c r="A8" s="1" t="s">
        <v>35</v>
      </c>
      <c r="B8" s="2">
        <v>45312</v>
      </c>
      <c r="C8" s="1" t="s">
        <v>36</v>
      </c>
      <c r="D8" s="1" t="s">
        <v>37</v>
      </c>
      <c r="E8" s="1" t="s">
        <v>38</v>
      </c>
      <c r="F8" s="1">
        <v>1046</v>
      </c>
      <c r="G8" s="1" t="s">
        <v>21</v>
      </c>
      <c r="H8" s="1" t="s">
        <v>13</v>
      </c>
      <c r="I8" s="1" t="str">
        <f>TEXT(Table1[[#This Row],[Order Date]],"mmm")</f>
        <v>Jan</v>
      </c>
      <c r="J8" s="1">
        <f>YEAR(Table1[[#This Row],[Order Date]])</f>
        <v>2024</v>
      </c>
    </row>
    <row r="9" spans="1:10" x14ac:dyDescent="0.25">
      <c r="A9" s="1" t="s">
        <v>39</v>
      </c>
      <c r="B9" s="2">
        <v>45395</v>
      </c>
      <c r="C9" s="1" t="s">
        <v>40</v>
      </c>
      <c r="D9" s="1" t="s">
        <v>41</v>
      </c>
      <c r="E9" s="1" t="s">
        <v>42</v>
      </c>
      <c r="F9" s="1">
        <v>946</v>
      </c>
      <c r="G9" s="1" t="s">
        <v>30</v>
      </c>
      <c r="H9" s="1" t="s">
        <v>17</v>
      </c>
      <c r="I9" s="1" t="str">
        <f>TEXT(Table1[[#This Row],[Order Date]],"mmm")</f>
        <v>Apr</v>
      </c>
      <c r="J9" s="1">
        <f>YEAR(Table1[[#This Row],[Order Date]])</f>
        <v>2024</v>
      </c>
    </row>
    <row r="10" spans="1:10" x14ac:dyDescent="0.25">
      <c r="A10" s="1" t="s">
        <v>43</v>
      </c>
      <c r="B10" s="2">
        <v>45414</v>
      </c>
      <c r="C10" s="1" t="s">
        <v>44</v>
      </c>
      <c r="D10" s="1" t="s">
        <v>45</v>
      </c>
      <c r="E10" s="1" t="s">
        <v>38</v>
      </c>
      <c r="F10" s="1">
        <v>564</v>
      </c>
      <c r="G10" s="1" t="s">
        <v>12</v>
      </c>
      <c r="H10" s="1" t="s">
        <v>13</v>
      </c>
      <c r="I10" s="1" t="str">
        <f>TEXT(Table1[[#This Row],[Order Date]],"mmm")</f>
        <v>May</v>
      </c>
      <c r="J10" s="1">
        <f>YEAR(Table1[[#This Row],[Order Date]])</f>
        <v>2024</v>
      </c>
    </row>
    <row r="11" spans="1:10" x14ac:dyDescent="0.25">
      <c r="A11" s="1" t="s">
        <v>46</v>
      </c>
      <c r="B11" s="2">
        <v>45872</v>
      </c>
      <c r="C11" s="1" t="s">
        <v>47</v>
      </c>
      <c r="D11" s="1" t="s">
        <v>48</v>
      </c>
      <c r="E11" s="1" t="s">
        <v>11</v>
      </c>
      <c r="F11" s="1">
        <v>288</v>
      </c>
      <c r="G11" s="1" t="s">
        <v>12</v>
      </c>
      <c r="H11" s="1" t="s">
        <v>13</v>
      </c>
      <c r="I11" s="1" t="str">
        <f>TEXT(Table1[[#This Row],[Order Date]],"mmm")</f>
        <v>Aug</v>
      </c>
      <c r="J11" s="1">
        <f>YEAR(Table1[[#This Row],[Order Date]])</f>
        <v>2025</v>
      </c>
    </row>
    <row r="12" spans="1:10" x14ac:dyDescent="0.25">
      <c r="A12" s="1" t="s">
        <v>49</v>
      </c>
      <c r="B12" s="2">
        <v>45988</v>
      </c>
      <c r="C12" s="1" t="s">
        <v>50</v>
      </c>
      <c r="D12" s="1" t="s">
        <v>51</v>
      </c>
      <c r="E12" s="1" t="s">
        <v>52</v>
      </c>
      <c r="F12" s="1">
        <v>1364</v>
      </c>
      <c r="G12" s="1" t="s">
        <v>12</v>
      </c>
      <c r="H12" s="1" t="s">
        <v>22</v>
      </c>
      <c r="I12" s="1" t="str">
        <f>TEXT(Table1[[#This Row],[Order Date]],"mmm")</f>
        <v>Nov</v>
      </c>
      <c r="J12" s="1">
        <f>YEAR(Table1[[#This Row],[Order Date]])</f>
        <v>2025</v>
      </c>
    </row>
    <row r="13" spans="1:10" x14ac:dyDescent="0.25">
      <c r="A13" s="1" t="s">
        <v>53</v>
      </c>
      <c r="B13" s="2">
        <v>45745</v>
      </c>
      <c r="C13" s="1" t="s">
        <v>54</v>
      </c>
      <c r="D13" s="1" t="s">
        <v>51</v>
      </c>
      <c r="E13" s="1" t="s">
        <v>29</v>
      </c>
      <c r="F13" s="1">
        <v>561</v>
      </c>
      <c r="G13" s="1" t="s">
        <v>21</v>
      </c>
      <c r="H13" s="1" t="s">
        <v>13</v>
      </c>
      <c r="I13" s="1" t="str">
        <f>TEXT(Table1[[#This Row],[Order Date]],"mmm")</f>
        <v>Mar</v>
      </c>
      <c r="J13" s="1">
        <f>YEAR(Table1[[#This Row],[Order Date]])</f>
        <v>2025</v>
      </c>
    </row>
    <row r="14" spans="1:10" x14ac:dyDescent="0.25">
      <c r="A14" s="1" t="s">
        <v>55</v>
      </c>
      <c r="B14" s="2">
        <v>45757</v>
      </c>
      <c r="C14" s="1" t="s">
        <v>56</v>
      </c>
      <c r="D14" s="1" t="s">
        <v>169</v>
      </c>
      <c r="E14" s="1" t="s">
        <v>11</v>
      </c>
      <c r="F14" s="1">
        <v>1079</v>
      </c>
      <c r="G14" s="1" t="s">
        <v>12</v>
      </c>
      <c r="H14" s="1" t="s">
        <v>57</v>
      </c>
      <c r="I14" s="1" t="str">
        <f>TEXT(Table1[[#This Row],[Order Date]],"mmm")</f>
        <v>Apr</v>
      </c>
      <c r="J14" s="1">
        <f>YEAR(Table1[[#This Row],[Order Date]])</f>
        <v>2025</v>
      </c>
    </row>
    <row r="15" spans="1:10" x14ac:dyDescent="0.25">
      <c r="A15" s="1" t="s">
        <v>58</v>
      </c>
      <c r="B15" s="2">
        <v>46017</v>
      </c>
      <c r="C15" s="1" t="s">
        <v>59</v>
      </c>
      <c r="D15" s="1" t="s">
        <v>28</v>
      </c>
      <c r="E15" s="1" t="s">
        <v>60</v>
      </c>
      <c r="F15" s="1">
        <v>1109</v>
      </c>
      <c r="G15" s="1" t="s">
        <v>12</v>
      </c>
      <c r="H15" s="1" t="s">
        <v>22</v>
      </c>
      <c r="I15" s="1" t="str">
        <f>TEXT(Table1[[#This Row],[Order Date]],"mmm")</f>
        <v>Dec</v>
      </c>
      <c r="J15" s="1">
        <f>YEAR(Table1[[#This Row],[Order Date]])</f>
        <v>2025</v>
      </c>
    </row>
    <row r="16" spans="1:10" x14ac:dyDescent="0.25">
      <c r="A16" s="1" t="s">
        <v>61</v>
      </c>
      <c r="B16" s="2">
        <v>45809</v>
      </c>
      <c r="C16" s="1" t="s">
        <v>62</v>
      </c>
      <c r="D16" s="1" t="s">
        <v>10</v>
      </c>
      <c r="E16" s="1" t="s">
        <v>63</v>
      </c>
      <c r="F16" s="1">
        <v>835</v>
      </c>
      <c r="G16" s="1" t="s">
        <v>12</v>
      </c>
      <c r="H16" s="1" t="s">
        <v>57</v>
      </c>
      <c r="I16" s="1" t="str">
        <f>TEXT(Table1[[#This Row],[Order Date]],"mmm")</f>
        <v>Jun</v>
      </c>
      <c r="J16" s="1">
        <f>YEAR(Table1[[#This Row],[Order Date]])</f>
        <v>2025</v>
      </c>
    </row>
    <row r="17" spans="1:10" x14ac:dyDescent="0.25">
      <c r="A17" s="1" t="s">
        <v>64</v>
      </c>
      <c r="B17" s="2">
        <v>45788</v>
      </c>
      <c r="C17" s="1" t="s">
        <v>65</v>
      </c>
      <c r="D17" s="1" t="s">
        <v>169</v>
      </c>
      <c r="E17" s="1" t="s">
        <v>16</v>
      </c>
      <c r="F17" s="1">
        <v>952</v>
      </c>
      <c r="G17" s="1" t="s">
        <v>21</v>
      </c>
      <c r="H17" s="1" t="s">
        <v>13</v>
      </c>
      <c r="I17" s="1" t="str">
        <f>TEXT(Table1[[#This Row],[Order Date]],"mmm")</f>
        <v>May</v>
      </c>
      <c r="J17" s="1">
        <f>YEAR(Table1[[#This Row],[Order Date]])</f>
        <v>2025</v>
      </c>
    </row>
    <row r="18" spans="1:10" x14ac:dyDescent="0.25">
      <c r="A18" s="1" t="s">
        <v>66</v>
      </c>
      <c r="B18" s="2">
        <v>45807</v>
      </c>
      <c r="C18" s="1" t="s">
        <v>67</v>
      </c>
      <c r="D18" s="1" t="s">
        <v>48</v>
      </c>
      <c r="E18" s="1" t="s">
        <v>34</v>
      </c>
      <c r="F18" s="1">
        <v>1038</v>
      </c>
      <c r="G18" s="1" t="s">
        <v>21</v>
      </c>
      <c r="H18" s="1" t="s">
        <v>57</v>
      </c>
      <c r="I18" s="1" t="str">
        <f>TEXT(Table1[[#This Row],[Order Date]],"mmm")</f>
        <v>May</v>
      </c>
      <c r="J18" s="1">
        <f>YEAR(Table1[[#This Row],[Order Date]])</f>
        <v>2025</v>
      </c>
    </row>
    <row r="19" spans="1:10" x14ac:dyDescent="0.25">
      <c r="A19" s="1" t="s">
        <v>68</v>
      </c>
      <c r="B19" s="2">
        <v>45966</v>
      </c>
      <c r="C19" s="1" t="s">
        <v>69</v>
      </c>
      <c r="D19" s="1" t="s">
        <v>70</v>
      </c>
      <c r="E19" s="1" t="s">
        <v>38</v>
      </c>
      <c r="F19" s="1">
        <v>913</v>
      </c>
      <c r="G19" s="1" t="s">
        <v>12</v>
      </c>
      <c r="H19" s="1" t="s">
        <v>17</v>
      </c>
      <c r="I19" s="1" t="str">
        <f>TEXT(Table1[[#This Row],[Order Date]],"mmm")</f>
        <v>Nov</v>
      </c>
      <c r="J19" s="1">
        <f>YEAR(Table1[[#This Row],[Order Date]])</f>
        <v>2025</v>
      </c>
    </row>
    <row r="20" spans="1:10" x14ac:dyDescent="0.25">
      <c r="A20" s="1" t="s">
        <v>71</v>
      </c>
      <c r="B20" s="2">
        <v>45915</v>
      </c>
      <c r="C20" s="1" t="s">
        <v>72</v>
      </c>
      <c r="D20" s="1" t="s">
        <v>10</v>
      </c>
      <c r="E20" s="1" t="s">
        <v>11</v>
      </c>
      <c r="F20" s="1">
        <v>532</v>
      </c>
      <c r="G20" s="1" t="s">
        <v>12</v>
      </c>
      <c r="H20" s="1" t="s">
        <v>17</v>
      </c>
      <c r="I20" s="1" t="str">
        <f>TEXT(Table1[[#This Row],[Order Date]],"mmm")</f>
        <v>Sep</v>
      </c>
      <c r="J20" s="1">
        <f>YEAR(Table1[[#This Row],[Order Date]])</f>
        <v>2025</v>
      </c>
    </row>
    <row r="21" spans="1:10" x14ac:dyDescent="0.25">
      <c r="A21" s="1" t="s">
        <v>73</v>
      </c>
      <c r="B21" s="2">
        <v>46001</v>
      </c>
      <c r="C21" s="1" t="s">
        <v>74</v>
      </c>
      <c r="D21" s="1" t="s">
        <v>45</v>
      </c>
      <c r="E21" s="1" t="s">
        <v>42</v>
      </c>
      <c r="F21" s="1">
        <v>364</v>
      </c>
      <c r="G21" s="1" t="s">
        <v>12</v>
      </c>
      <c r="H21" s="1" t="s">
        <v>13</v>
      </c>
      <c r="I21" s="1" t="str">
        <f>TEXT(Table1[[#This Row],[Order Date]],"mmm")</f>
        <v>Dec</v>
      </c>
      <c r="J21" s="1">
        <f>YEAR(Table1[[#This Row],[Order Date]])</f>
        <v>2025</v>
      </c>
    </row>
    <row r="22" spans="1:10" x14ac:dyDescent="0.25">
      <c r="A22" s="1" t="s">
        <v>75</v>
      </c>
      <c r="B22" s="2">
        <v>45951</v>
      </c>
      <c r="C22" s="1" t="s">
        <v>76</v>
      </c>
      <c r="D22" s="1" t="s">
        <v>37</v>
      </c>
      <c r="E22" s="1" t="s">
        <v>29</v>
      </c>
      <c r="F22" s="1">
        <v>587</v>
      </c>
      <c r="G22" s="1" t="s">
        <v>12</v>
      </c>
      <c r="H22" s="1" t="s">
        <v>57</v>
      </c>
      <c r="I22" s="1" t="str">
        <f>TEXT(Table1[[#This Row],[Order Date]],"mmm")</f>
        <v>Oct</v>
      </c>
      <c r="J22" s="1">
        <f>YEAR(Table1[[#This Row],[Order Date]])</f>
        <v>2025</v>
      </c>
    </row>
    <row r="23" spans="1:10" x14ac:dyDescent="0.25">
      <c r="A23" s="1" t="s">
        <v>77</v>
      </c>
      <c r="B23" s="2">
        <v>45849</v>
      </c>
      <c r="C23" s="1" t="s">
        <v>78</v>
      </c>
      <c r="D23" s="1" t="s">
        <v>48</v>
      </c>
      <c r="E23" s="1" t="s">
        <v>52</v>
      </c>
      <c r="F23" s="1">
        <v>683</v>
      </c>
      <c r="G23" s="1" t="s">
        <v>21</v>
      </c>
      <c r="H23" s="1" t="s">
        <v>13</v>
      </c>
      <c r="I23" s="1" t="str">
        <f>TEXT(Table1[[#This Row],[Order Date]],"mmm")</f>
        <v>Jul</v>
      </c>
      <c r="J23" s="1">
        <f>YEAR(Table1[[#This Row],[Order Date]])</f>
        <v>2025</v>
      </c>
    </row>
    <row r="24" spans="1:10" x14ac:dyDescent="0.25">
      <c r="A24" s="1" t="s">
        <v>79</v>
      </c>
      <c r="B24" s="2">
        <v>45934</v>
      </c>
      <c r="C24" s="1" t="s">
        <v>80</v>
      </c>
      <c r="D24" s="1" t="s">
        <v>81</v>
      </c>
      <c r="E24" s="1" t="s">
        <v>29</v>
      </c>
      <c r="F24" s="1">
        <v>1623</v>
      </c>
      <c r="G24" s="1" t="s">
        <v>12</v>
      </c>
      <c r="H24" s="1" t="s">
        <v>17</v>
      </c>
      <c r="I24" s="1" t="str">
        <f>TEXT(Table1[[#This Row],[Order Date]],"mmm")</f>
        <v>Oct</v>
      </c>
      <c r="J24" s="1">
        <f>YEAR(Table1[[#This Row],[Order Date]])</f>
        <v>2025</v>
      </c>
    </row>
    <row r="25" spans="1:10" x14ac:dyDescent="0.25">
      <c r="A25" s="1" t="s">
        <v>82</v>
      </c>
      <c r="B25" s="2">
        <v>45818</v>
      </c>
      <c r="C25" s="1" t="s">
        <v>83</v>
      </c>
      <c r="D25" s="1" t="s">
        <v>48</v>
      </c>
      <c r="E25" s="1" t="s">
        <v>25</v>
      </c>
      <c r="F25" s="1">
        <v>439</v>
      </c>
      <c r="G25" s="1" t="s">
        <v>21</v>
      </c>
      <c r="H25" s="1" t="s">
        <v>57</v>
      </c>
      <c r="I25" s="1" t="str">
        <f>TEXT(Table1[[#This Row],[Order Date]],"mmm")</f>
        <v>Jun</v>
      </c>
      <c r="J25" s="1">
        <f>YEAR(Table1[[#This Row],[Order Date]])</f>
        <v>2025</v>
      </c>
    </row>
    <row r="26" spans="1:10" x14ac:dyDescent="0.25">
      <c r="A26" s="1" t="s">
        <v>84</v>
      </c>
      <c r="B26" s="2">
        <v>45971</v>
      </c>
      <c r="C26" s="1" t="s">
        <v>85</v>
      </c>
      <c r="D26" s="1" t="s">
        <v>37</v>
      </c>
      <c r="E26" s="1" t="s">
        <v>42</v>
      </c>
      <c r="F26" s="1">
        <v>1743</v>
      </c>
      <c r="G26" s="1" t="s">
        <v>12</v>
      </c>
      <c r="H26" s="1" t="s">
        <v>17</v>
      </c>
      <c r="I26" s="1" t="str">
        <f>TEXT(Table1[[#This Row],[Order Date]],"mmm")</f>
        <v>Nov</v>
      </c>
      <c r="J26" s="1">
        <f>YEAR(Table1[[#This Row],[Order Date]])</f>
        <v>2025</v>
      </c>
    </row>
    <row r="27" spans="1:10" x14ac:dyDescent="0.25">
      <c r="A27" s="1" t="s">
        <v>86</v>
      </c>
      <c r="B27" s="2">
        <v>45679</v>
      </c>
      <c r="C27" s="1" t="s">
        <v>87</v>
      </c>
      <c r="D27" s="1" t="s">
        <v>37</v>
      </c>
      <c r="E27" s="1" t="s">
        <v>60</v>
      </c>
      <c r="F27" s="1">
        <v>2035</v>
      </c>
      <c r="G27" s="1" t="s">
        <v>21</v>
      </c>
      <c r="H27" s="1" t="s">
        <v>57</v>
      </c>
      <c r="I27" s="1" t="str">
        <f>TEXT(Table1[[#This Row],[Order Date]],"mmm")</f>
        <v>Jan</v>
      </c>
      <c r="J27" s="1">
        <f>YEAR(Table1[[#This Row],[Order Date]])</f>
        <v>2025</v>
      </c>
    </row>
    <row r="28" spans="1:10" x14ac:dyDescent="0.25">
      <c r="A28" s="1" t="s">
        <v>88</v>
      </c>
      <c r="B28" s="2">
        <v>45910</v>
      </c>
      <c r="C28" s="1" t="s">
        <v>89</v>
      </c>
      <c r="D28" s="1" t="s">
        <v>37</v>
      </c>
      <c r="E28" s="1" t="s">
        <v>63</v>
      </c>
      <c r="F28" s="1">
        <v>598</v>
      </c>
      <c r="G28" s="1" t="s">
        <v>12</v>
      </c>
      <c r="H28" s="1" t="s">
        <v>22</v>
      </c>
      <c r="I28" s="1" t="str">
        <f>TEXT(Table1[[#This Row],[Order Date]],"mmm")</f>
        <v>Sep</v>
      </c>
      <c r="J28" s="1">
        <f>YEAR(Table1[[#This Row],[Order Date]])</f>
        <v>2025</v>
      </c>
    </row>
    <row r="29" spans="1:10" x14ac:dyDescent="0.25">
      <c r="A29" s="1" t="s">
        <v>90</v>
      </c>
      <c r="B29" s="2">
        <v>45893</v>
      </c>
      <c r="C29" s="1" t="s">
        <v>91</v>
      </c>
      <c r="D29" s="1" t="s">
        <v>37</v>
      </c>
      <c r="E29" s="1" t="s">
        <v>42</v>
      </c>
      <c r="F29" s="1">
        <v>1997</v>
      </c>
      <c r="G29" s="1" t="s">
        <v>12</v>
      </c>
      <c r="H29" s="1" t="s">
        <v>13</v>
      </c>
      <c r="I29" s="1" t="str">
        <f>TEXT(Table1[[#This Row],[Order Date]],"mmm")</f>
        <v>Aug</v>
      </c>
      <c r="J29" s="1">
        <f>YEAR(Table1[[#This Row],[Order Date]])</f>
        <v>2025</v>
      </c>
    </row>
    <row r="30" spans="1:10" x14ac:dyDescent="0.25">
      <c r="A30" s="1" t="s">
        <v>92</v>
      </c>
      <c r="B30" s="2">
        <v>46002</v>
      </c>
      <c r="C30" s="1" t="s">
        <v>93</v>
      </c>
      <c r="D30" s="1" t="s">
        <v>169</v>
      </c>
      <c r="E30" s="1" t="s">
        <v>16</v>
      </c>
      <c r="F30" s="1">
        <v>773</v>
      </c>
      <c r="G30" s="1" t="s">
        <v>21</v>
      </c>
      <c r="H30" s="1" t="s">
        <v>57</v>
      </c>
      <c r="I30" s="1" t="str">
        <f>TEXT(Table1[[#This Row],[Order Date]],"mmm")</f>
        <v>Dec</v>
      </c>
      <c r="J30" s="1">
        <f>YEAR(Table1[[#This Row],[Order Date]])</f>
        <v>2025</v>
      </c>
    </row>
    <row r="31" spans="1:10" x14ac:dyDescent="0.25">
      <c r="A31" s="1" t="s">
        <v>95</v>
      </c>
      <c r="B31" s="2">
        <v>46071</v>
      </c>
      <c r="C31" s="1" t="s">
        <v>96</v>
      </c>
      <c r="D31" s="1" t="s">
        <v>10</v>
      </c>
      <c r="E31" s="1" t="s">
        <v>25</v>
      </c>
      <c r="F31" s="1">
        <v>709</v>
      </c>
      <c r="G31" s="1" t="s">
        <v>12</v>
      </c>
      <c r="H31" s="1" t="s">
        <v>57</v>
      </c>
      <c r="I31" s="1" t="str">
        <f>TEXT(Table1[[#This Row],[Order Date]],"mmm")</f>
        <v>Feb</v>
      </c>
      <c r="J31" s="1">
        <f>YEAR(Table1[[#This Row],[Order Date]])</f>
        <v>2026</v>
      </c>
    </row>
    <row r="32" spans="1:10" x14ac:dyDescent="0.25">
      <c r="A32" s="1" t="s">
        <v>97</v>
      </c>
      <c r="B32" s="2">
        <v>46081</v>
      </c>
      <c r="C32" s="1" t="s">
        <v>98</v>
      </c>
      <c r="D32" s="1" t="s">
        <v>169</v>
      </c>
      <c r="E32" s="1" t="s">
        <v>16</v>
      </c>
      <c r="F32" s="1">
        <v>1623</v>
      </c>
      <c r="G32" s="1" t="s">
        <v>21</v>
      </c>
      <c r="H32" s="1" t="s">
        <v>22</v>
      </c>
      <c r="I32" s="1" t="str">
        <f>TEXT(Table1[[#This Row],[Order Date]],"mmm")</f>
        <v>Feb</v>
      </c>
      <c r="J32" s="1">
        <f>YEAR(Table1[[#This Row],[Order Date]])</f>
        <v>2026</v>
      </c>
    </row>
    <row r="33" spans="1:10" x14ac:dyDescent="0.25">
      <c r="A33" s="1" t="s">
        <v>99</v>
      </c>
      <c r="B33" s="2">
        <v>45827</v>
      </c>
      <c r="C33" s="1" t="s">
        <v>100</v>
      </c>
      <c r="D33" s="1" t="s">
        <v>169</v>
      </c>
      <c r="E33" s="1" t="s">
        <v>42</v>
      </c>
      <c r="F33" s="1">
        <v>930</v>
      </c>
      <c r="G33" s="1" t="s">
        <v>30</v>
      </c>
      <c r="H33" s="1" t="s">
        <v>31</v>
      </c>
      <c r="I33" s="1" t="str">
        <f>TEXT(Table1[[#This Row],[Order Date]],"mmm")</f>
        <v>Jun</v>
      </c>
      <c r="J33" s="1">
        <f>YEAR(Table1[[#This Row],[Order Date]])</f>
        <v>2025</v>
      </c>
    </row>
    <row r="34" spans="1:10" x14ac:dyDescent="0.25">
      <c r="A34" s="1" t="s">
        <v>101</v>
      </c>
      <c r="B34" s="2">
        <v>46210</v>
      </c>
      <c r="C34" s="1" t="s">
        <v>102</v>
      </c>
      <c r="D34" s="1" t="s">
        <v>20</v>
      </c>
      <c r="E34" s="1" t="s">
        <v>38</v>
      </c>
      <c r="F34" s="1">
        <v>861</v>
      </c>
      <c r="G34" s="1" t="s">
        <v>21</v>
      </c>
      <c r="H34" s="1" t="s">
        <v>22</v>
      </c>
      <c r="I34" s="1" t="str">
        <f>TEXT(Table1[[#This Row],[Order Date]],"mmm")</f>
        <v>Jul</v>
      </c>
      <c r="J34" s="1">
        <f>YEAR(Table1[[#This Row],[Order Date]])</f>
        <v>2026</v>
      </c>
    </row>
    <row r="35" spans="1:10" x14ac:dyDescent="0.25">
      <c r="A35" s="1" t="s">
        <v>103</v>
      </c>
      <c r="B35" s="2">
        <v>46293</v>
      </c>
      <c r="C35" s="1" t="s">
        <v>104</v>
      </c>
      <c r="D35" s="1" t="s">
        <v>81</v>
      </c>
      <c r="E35" s="1" t="s">
        <v>38</v>
      </c>
      <c r="F35" s="1">
        <v>583</v>
      </c>
      <c r="G35" s="1" t="s">
        <v>21</v>
      </c>
      <c r="H35" s="1" t="s">
        <v>57</v>
      </c>
      <c r="I35" s="1" t="str">
        <f>TEXT(Table1[[#This Row],[Order Date]],"mmm")</f>
        <v>Sep</v>
      </c>
      <c r="J35" s="1">
        <f>YEAR(Table1[[#This Row],[Order Date]])</f>
        <v>2026</v>
      </c>
    </row>
    <row r="36" spans="1:10" x14ac:dyDescent="0.25">
      <c r="A36" s="1" t="s">
        <v>105</v>
      </c>
      <c r="B36" s="2">
        <v>46212</v>
      </c>
      <c r="C36" s="1" t="s">
        <v>106</v>
      </c>
      <c r="D36" s="1" t="s">
        <v>37</v>
      </c>
      <c r="E36" s="1" t="s">
        <v>42</v>
      </c>
      <c r="F36" s="1">
        <v>610</v>
      </c>
      <c r="G36" s="1" t="s">
        <v>12</v>
      </c>
      <c r="H36" s="1" t="s">
        <v>31</v>
      </c>
      <c r="I36" s="1" t="str">
        <f>TEXT(Table1[[#This Row],[Order Date]],"mmm")</f>
        <v>Jul</v>
      </c>
      <c r="J36" s="1">
        <f>YEAR(Table1[[#This Row],[Order Date]])</f>
        <v>2026</v>
      </c>
    </row>
    <row r="37" spans="1:10" x14ac:dyDescent="0.25">
      <c r="A37" s="1" t="s">
        <v>107</v>
      </c>
      <c r="B37" s="2">
        <v>46197</v>
      </c>
      <c r="C37" s="1" t="s">
        <v>108</v>
      </c>
      <c r="D37" s="1" t="s">
        <v>10</v>
      </c>
      <c r="E37" s="1" t="s">
        <v>34</v>
      </c>
      <c r="F37" s="1">
        <v>877</v>
      </c>
      <c r="G37" s="1" t="s">
        <v>21</v>
      </c>
      <c r="H37" s="1" t="s">
        <v>17</v>
      </c>
      <c r="I37" s="1" t="str">
        <f>TEXT(Table1[[#This Row],[Order Date]],"mmm")</f>
        <v>Jun</v>
      </c>
      <c r="J37" s="1">
        <f>YEAR(Table1[[#This Row],[Order Date]])</f>
        <v>2026</v>
      </c>
    </row>
    <row r="38" spans="1:10" x14ac:dyDescent="0.25">
      <c r="A38" s="1" t="s">
        <v>109</v>
      </c>
      <c r="B38" s="2">
        <v>46073</v>
      </c>
      <c r="C38" s="1" t="s">
        <v>110</v>
      </c>
      <c r="D38" s="1" t="s">
        <v>70</v>
      </c>
      <c r="E38" s="1" t="s">
        <v>29</v>
      </c>
      <c r="F38" s="1">
        <v>1623</v>
      </c>
      <c r="G38" s="1" t="s">
        <v>12</v>
      </c>
      <c r="H38" s="1" t="s">
        <v>13</v>
      </c>
      <c r="I38" s="1" t="str">
        <f>TEXT(Table1[[#This Row],[Order Date]],"mmm")</f>
        <v>Feb</v>
      </c>
      <c r="J38" s="1">
        <f>YEAR(Table1[[#This Row],[Order Date]])</f>
        <v>2026</v>
      </c>
    </row>
    <row r="39" spans="1:10" x14ac:dyDescent="0.25">
      <c r="A39" s="1" t="s">
        <v>111</v>
      </c>
      <c r="B39" s="2">
        <v>46386</v>
      </c>
      <c r="C39" s="1" t="s">
        <v>112</v>
      </c>
      <c r="D39" s="1" t="s">
        <v>169</v>
      </c>
      <c r="E39" s="1" t="s">
        <v>11</v>
      </c>
      <c r="F39" s="1">
        <v>440</v>
      </c>
      <c r="G39" s="1" t="s">
        <v>12</v>
      </c>
      <c r="H39" s="1" t="s">
        <v>31</v>
      </c>
      <c r="I39" s="1" t="str">
        <f>TEXT(Table1[[#This Row],[Order Date]],"mmm")</f>
        <v>Dec</v>
      </c>
      <c r="J39" s="1">
        <f>YEAR(Table1[[#This Row],[Order Date]])</f>
        <v>2026</v>
      </c>
    </row>
    <row r="40" spans="1:10" x14ac:dyDescent="0.25">
      <c r="A40" s="1" t="s">
        <v>113</v>
      </c>
      <c r="B40" s="2">
        <v>46077</v>
      </c>
      <c r="C40" s="1" t="s">
        <v>114</v>
      </c>
      <c r="D40" s="1" t="s">
        <v>37</v>
      </c>
      <c r="E40" s="1" t="s">
        <v>42</v>
      </c>
      <c r="F40" s="1">
        <v>794</v>
      </c>
      <c r="G40" s="1" t="s">
        <v>21</v>
      </c>
      <c r="H40" s="1" t="s">
        <v>17</v>
      </c>
      <c r="I40" s="1" t="str">
        <f>TEXT(Table1[[#This Row],[Order Date]],"mmm")</f>
        <v>Feb</v>
      </c>
      <c r="J40" s="1">
        <f>YEAR(Table1[[#This Row],[Order Date]])</f>
        <v>2026</v>
      </c>
    </row>
    <row r="41" spans="1:10" x14ac:dyDescent="0.25">
      <c r="A41" s="1" t="s">
        <v>115</v>
      </c>
      <c r="B41" s="2">
        <v>46266</v>
      </c>
      <c r="C41" s="1" t="s">
        <v>116</v>
      </c>
      <c r="D41" s="1" t="s">
        <v>94</v>
      </c>
      <c r="E41" s="1" t="s">
        <v>52</v>
      </c>
      <c r="F41" s="1">
        <v>396</v>
      </c>
      <c r="G41" s="1" t="s">
        <v>30</v>
      </c>
      <c r="H41" s="1" t="s">
        <v>57</v>
      </c>
      <c r="I41" s="1" t="str">
        <f>TEXT(Table1[[#This Row],[Order Date]],"mmm")</f>
        <v>Sep</v>
      </c>
      <c r="J41" s="1">
        <f>YEAR(Table1[[#This Row],[Order Date]])</f>
        <v>2026</v>
      </c>
    </row>
    <row r="42" spans="1:10" x14ac:dyDescent="0.25">
      <c r="A42" s="1" t="s">
        <v>117</v>
      </c>
      <c r="B42" s="2">
        <v>46342</v>
      </c>
      <c r="C42" s="1" t="s">
        <v>118</v>
      </c>
      <c r="D42" s="1" t="s">
        <v>94</v>
      </c>
      <c r="E42" s="1" t="s">
        <v>29</v>
      </c>
      <c r="F42" s="1">
        <v>567</v>
      </c>
      <c r="G42" s="1" t="s">
        <v>12</v>
      </c>
      <c r="H42" s="1" t="s">
        <v>31</v>
      </c>
      <c r="I42" s="1" t="str">
        <f>TEXT(Table1[[#This Row],[Order Date]],"mmm")</f>
        <v>Nov</v>
      </c>
      <c r="J42" s="1">
        <f>YEAR(Table1[[#This Row],[Order Date]])</f>
        <v>2026</v>
      </c>
    </row>
    <row r="43" spans="1:10" x14ac:dyDescent="0.25">
      <c r="A43" s="1" t="s">
        <v>119</v>
      </c>
      <c r="B43" s="2">
        <v>46153</v>
      </c>
      <c r="C43" s="1" t="s">
        <v>120</v>
      </c>
      <c r="D43" s="1" t="s">
        <v>48</v>
      </c>
      <c r="E43" s="1" t="s">
        <v>52</v>
      </c>
      <c r="F43" s="1">
        <v>1160</v>
      </c>
      <c r="G43" s="1" t="s">
        <v>21</v>
      </c>
      <c r="H43" s="1" t="s">
        <v>22</v>
      </c>
      <c r="I43" s="1" t="str">
        <f>TEXT(Table1[[#This Row],[Order Date]],"mmm")</f>
        <v>May</v>
      </c>
      <c r="J43" s="1">
        <f>YEAR(Table1[[#This Row],[Order Date]])</f>
        <v>2026</v>
      </c>
    </row>
    <row r="44" spans="1:10" x14ac:dyDescent="0.25">
      <c r="A44" s="1" t="s">
        <v>121</v>
      </c>
      <c r="B44" s="2">
        <v>46329</v>
      </c>
      <c r="C44" s="1" t="s">
        <v>122</v>
      </c>
      <c r="D44" s="1" t="s">
        <v>10</v>
      </c>
      <c r="E44" s="1" t="s">
        <v>29</v>
      </c>
      <c r="F44" s="1">
        <v>513</v>
      </c>
      <c r="G44" s="1" t="s">
        <v>12</v>
      </c>
      <c r="H44" s="1" t="s">
        <v>13</v>
      </c>
      <c r="I44" s="1" t="str">
        <f>TEXT(Table1[[#This Row],[Order Date]],"mmm")</f>
        <v>Nov</v>
      </c>
      <c r="J44" s="1">
        <f>YEAR(Table1[[#This Row],[Order Date]])</f>
        <v>2026</v>
      </c>
    </row>
    <row r="45" spans="1:10" x14ac:dyDescent="0.25">
      <c r="A45" s="1" t="s">
        <v>123</v>
      </c>
      <c r="B45" s="2">
        <v>46157</v>
      </c>
      <c r="C45" s="1" t="s">
        <v>124</v>
      </c>
      <c r="D45" s="1" t="s">
        <v>70</v>
      </c>
      <c r="E45" s="1" t="s">
        <v>60</v>
      </c>
      <c r="F45" s="1">
        <v>1415</v>
      </c>
      <c r="G45" s="1" t="s">
        <v>30</v>
      </c>
      <c r="H45" s="1" t="s">
        <v>22</v>
      </c>
      <c r="I45" s="1" t="str">
        <f>TEXT(Table1[[#This Row],[Order Date]],"mmm")</f>
        <v>May</v>
      </c>
      <c r="J45" s="1">
        <f>YEAR(Table1[[#This Row],[Order Date]])</f>
        <v>2026</v>
      </c>
    </row>
    <row r="46" spans="1:10" x14ac:dyDescent="0.25">
      <c r="A46" s="1" t="s">
        <v>125</v>
      </c>
      <c r="B46" s="2">
        <v>46043</v>
      </c>
      <c r="C46" s="1" t="s">
        <v>126</v>
      </c>
      <c r="D46" s="1" t="s">
        <v>20</v>
      </c>
      <c r="E46" s="1" t="s">
        <v>11</v>
      </c>
      <c r="F46" s="1">
        <v>511</v>
      </c>
      <c r="G46" s="1" t="s">
        <v>21</v>
      </c>
      <c r="H46" s="1" t="s">
        <v>22</v>
      </c>
      <c r="I46" s="1" t="str">
        <f>TEXT(Table1[[#This Row],[Order Date]],"mmm")</f>
        <v>Jan</v>
      </c>
      <c r="J46" s="1">
        <f>YEAR(Table1[[#This Row],[Order Date]])</f>
        <v>2026</v>
      </c>
    </row>
    <row r="47" spans="1:10" x14ac:dyDescent="0.25">
      <c r="A47" s="1" t="s">
        <v>127</v>
      </c>
      <c r="B47" s="2">
        <v>46351</v>
      </c>
      <c r="C47" s="1" t="s">
        <v>128</v>
      </c>
      <c r="D47" s="1" t="s">
        <v>129</v>
      </c>
      <c r="E47" s="1" t="s">
        <v>29</v>
      </c>
      <c r="F47" s="1">
        <v>620</v>
      </c>
      <c r="G47" s="1" t="s">
        <v>12</v>
      </c>
      <c r="H47" s="1" t="s">
        <v>13</v>
      </c>
      <c r="I47" s="1" t="str">
        <f>TEXT(Table1[[#This Row],[Order Date]],"mmm")</f>
        <v>Nov</v>
      </c>
      <c r="J47" s="1">
        <f>YEAR(Table1[[#This Row],[Order Date]])</f>
        <v>2026</v>
      </c>
    </row>
    <row r="48" spans="1:10" x14ac:dyDescent="0.25">
      <c r="A48" s="1" t="s">
        <v>130</v>
      </c>
      <c r="B48" s="2">
        <v>46189</v>
      </c>
      <c r="C48" s="1" t="s">
        <v>131</v>
      </c>
      <c r="D48" s="1" t="s">
        <v>81</v>
      </c>
      <c r="E48" s="1" t="s">
        <v>11</v>
      </c>
      <c r="F48" s="1">
        <v>303</v>
      </c>
      <c r="G48" s="1" t="s">
        <v>21</v>
      </c>
      <c r="H48" s="1" t="s">
        <v>22</v>
      </c>
      <c r="I48" s="1" t="str">
        <f>TEXT(Table1[[#This Row],[Order Date]],"mmm")</f>
        <v>Jun</v>
      </c>
      <c r="J48" s="1">
        <f>YEAR(Table1[[#This Row],[Order Date]])</f>
        <v>2026</v>
      </c>
    </row>
    <row r="49" spans="1:10" x14ac:dyDescent="0.25">
      <c r="A49" s="1" t="s">
        <v>132</v>
      </c>
      <c r="B49" s="2">
        <v>46296</v>
      </c>
      <c r="C49" s="1" t="s">
        <v>133</v>
      </c>
      <c r="D49" s="1" t="s">
        <v>129</v>
      </c>
      <c r="E49" s="1" t="s">
        <v>60</v>
      </c>
      <c r="F49" s="1">
        <v>1416</v>
      </c>
      <c r="G49" s="1" t="s">
        <v>12</v>
      </c>
      <c r="H49" s="1" t="s">
        <v>57</v>
      </c>
      <c r="I49" s="1" t="str">
        <f>TEXT(Table1[[#This Row],[Order Date]],"mmm")</f>
        <v>Oct</v>
      </c>
      <c r="J49" s="1">
        <f>YEAR(Table1[[#This Row],[Order Date]])</f>
        <v>2026</v>
      </c>
    </row>
    <row r="50" spans="1:10" x14ac:dyDescent="0.25">
      <c r="A50" s="1" t="s">
        <v>134</v>
      </c>
      <c r="B50" s="2">
        <v>46111</v>
      </c>
      <c r="C50" s="1" t="s">
        <v>135</v>
      </c>
      <c r="D50" s="1" t="s">
        <v>129</v>
      </c>
      <c r="E50" s="1" t="s">
        <v>38</v>
      </c>
      <c r="F50" s="1">
        <v>1311</v>
      </c>
      <c r="G50" s="1" t="s">
        <v>21</v>
      </c>
      <c r="H50" s="1" t="s">
        <v>22</v>
      </c>
      <c r="I50" s="1" t="str">
        <f>TEXT(Table1[[#This Row],[Order Date]],"mmm")</f>
        <v>Mar</v>
      </c>
      <c r="J50" s="1">
        <f>YEAR(Table1[[#This Row],[Order Date]])</f>
        <v>2026</v>
      </c>
    </row>
    <row r="51" spans="1:10" x14ac:dyDescent="0.25">
      <c r="A51" s="1" t="s">
        <v>136</v>
      </c>
      <c r="B51" s="2">
        <v>46338</v>
      </c>
      <c r="C51" s="1" t="s">
        <v>137</v>
      </c>
      <c r="D51" s="1" t="s">
        <v>10</v>
      </c>
      <c r="E51" s="1" t="s">
        <v>42</v>
      </c>
      <c r="F51" s="1">
        <v>402</v>
      </c>
      <c r="G51" s="1" t="s">
        <v>12</v>
      </c>
      <c r="H51" s="1" t="s">
        <v>57</v>
      </c>
      <c r="I51" s="1" t="str">
        <f>TEXT(Table1[[#This Row],[Order Date]],"mmm")</f>
        <v>Nov</v>
      </c>
      <c r="J51" s="1">
        <f>YEAR(Table1[[#This Row],[Order Date]])</f>
        <v>2026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860BB-E6D9-4134-B107-A29C53B24D1A}">
  <dimension ref="A2:M99"/>
  <sheetViews>
    <sheetView tabSelected="1" topLeftCell="A72" zoomScaleNormal="100" workbookViewId="0">
      <selection activeCell="H99" sqref="H99"/>
    </sheetView>
  </sheetViews>
  <sheetFormatPr defaultRowHeight="14.3" x14ac:dyDescent="0.25"/>
  <cols>
    <col min="1" max="1" width="16.28515625" bestFit="1" customWidth="1"/>
    <col min="2" max="2" width="30.28515625" bestFit="1" customWidth="1"/>
    <col min="3" max="4" width="6" bestFit="1" customWidth="1"/>
    <col min="5" max="5" width="11.28515625" bestFit="1" customWidth="1"/>
  </cols>
  <sheetData>
    <row r="2" spans="1:5" x14ac:dyDescent="0.25">
      <c r="A2" s="7" t="s">
        <v>156</v>
      </c>
      <c r="B2" s="8" t="s">
        <v>157</v>
      </c>
    </row>
    <row r="5" spans="1:5" x14ac:dyDescent="0.25">
      <c r="A5" s="5" t="s">
        <v>140</v>
      </c>
      <c r="B5" s="5" t="s">
        <v>155</v>
      </c>
    </row>
    <row r="6" spans="1:5" x14ac:dyDescent="0.25">
      <c r="A6" s="5" t="s">
        <v>141</v>
      </c>
      <c r="B6">
        <v>2024</v>
      </c>
      <c r="C6">
        <v>2025</v>
      </c>
      <c r="D6">
        <v>2026</v>
      </c>
      <c r="E6" t="s">
        <v>154</v>
      </c>
    </row>
    <row r="7" spans="1:5" x14ac:dyDescent="0.25">
      <c r="A7" s="6" t="s">
        <v>142</v>
      </c>
      <c r="B7">
        <v>1046</v>
      </c>
      <c r="C7">
        <v>2035</v>
      </c>
      <c r="D7">
        <v>511</v>
      </c>
      <c r="E7">
        <v>3592</v>
      </c>
    </row>
    <row r="8" spans="1:5" x14ac:dyDescent="0.25">
      <c r="A8" s="6" t="s">
        <v>143</v>
      </c>
      <c r="D8">
        <v>4749</v>
      </c>
      <c r="E8">
        <v>4749</v>
      </c>
    </row>
    <row r="9" spans="1:5" x14ac:dyDescent="0.25">
      <c r="A9" s="6" t="s">
        <v>144</v>
      </c>
      <c r="B9">
        <v>489</v>
      </c>
      <c r="C9">
        <v>561</v>
      </c>
      <c r="D9">
        <v>1311</v>
      </c>
      <c r="E9">
        <v>2361</v>
      </c>
    </row>
    <row r="10" spans="1:5" x14ac:dyDescent="0.25">
      <c r="A10" s="6" t="s">
        <v>145</v>
      </c>
      <c r="B10">
        <v>3292</v>
      </c>
      <c r="C10">
        <v>1079</v>
      </c>
      <c r="E10">
        <v>4371</v>
      </c>
    </row>
    <row r="11" spans="1:5" x14ac:dyDescent="0.25">
      <c r="A11" s="6" t="s">
        <v>146</v>
      </c>
      <c r="B11">
        <v>564</v>
      </c>
      <c r="C11">
        <v>1990</v>
      </c>
      <c r="D11">
        <v>2575</v>
      </c>
      <c r="E11">
        <v>5129</v>
      </c>
    </row>
    <row r="12" spans="1:5" x14ac:dyDescent="0.25">
      <c r="A12" s="6" t="s">
        <v>147</v>
      </c>
      <c r="C12">
        <v>2204</v>
      </c>
      <c r="D12">
        <v>1180</v>
      </c>
      <c r="E12">
        <v>3384</v>
      </c>
    </row>
    <row r="13" spans="1:5" x14ac:dyDescent="0.25">
      <c r="A13" s="6" t="s">
        <v>148</v>
      </c>
      <c r="B13">
        <v>1452</v>
      </c>
      <c r="C13">
        <v>683</v>
      </c>
      <c r="D13">
        <v>1471</v>
      </c>
      <c r="E13">
        <v>3606</v>
      </c>
    </row>
    <row r="14" spans="1:5" x14ac:dyDescent="0.25">
      <c r="A14" s="6" t="s">
        <v>149</v>
      </c>
      <c r="C14">
        <v>2285</v>
      </c>
      <c r="E14">
        <v>2285</v>
      </c>
    </row>
    <row r="15" spans="1:5" x14ac:dyDescent="0.25">
      <c r="A15" s="6" t="s">
        <v>150</v>
      </c>
      <c r="B15">
        <v>489</v>
      </c>
      <c r="C15">
        <v>1130</v>
      </c>
      <c r="D15">
        <v>979</v>
      </c>
      <c r="E15">
        <v>2598</v>
      </c>
    </row>
    <row r="16" spans="1:5" x14ac:dyDescent="0.25">
      <c r="A16" s="6" t="s">
        <v>151</v>
      </c>
      <c r="C16">
        <v>2210</v>
      </c>
      <c r="D16">
        <v>1416</v>
      </c>
      <c r="E16">
        <v>3626</v>
      </c>
    </row>
    <row r="17" spans="1:5" x14ac:dyDescent="0.25">
      <c r="A17" s="6" t="s">
        <v>152</v>
      </c>
      <c r="C17">
        <v>4020</v>
      </c>
      <c r="D17">
        <v>2102</v>
      </c>
      <c r="E17">
        <v>6122</v>
      </c>
    </row>
    <row r="18" spans="1:5" x14ac:dyDescent="0.25">
      <c r="A18" s="6" t="s">
        <v>153</v>
      </c>
      <c r="B18">
        <v>725</v>
      </c>
      <c r="C18">
        <v>2246</v>
      </c>
      <c r="D18">
        <v>440</v>
      </c>
      <c r="E18">
        <v>3411</v>
      </c>
    </row>
    <row r="19" spans="1:5" x14ac:dyDescent="0.25">
      <c r="A19" s="6" t="s">
        <v>154</v>
      </c>
      <c r="B19">
        <v>8057</v>
      </c>
      <c r="C19">
        <v>20443</v>
      </c>
      <c r="D19">
        <v>16734</v>
      </c>
      <c r="E19">
        <v>45234</v>
      </c>
    </row>
    <row r="24" spans="1:5" x14ac:dyDescent="0.25">
      <c r="A24" s="7" t="s">
        <v>158</v>
      </c>
      <c r="B24" s="8" t="s">
        <v>159</v>
      </c>
    </row>
    <row r="27" spans="1:5" x14ac:dyDescent="0.25">
      <c r="A27" s="5" t="s">
        <v>140</v>
      </c>
      <c r="B27" s="5" t="s">
        <v>155</v>
      </c>
    </row>
    <row r="28" spans="1:5" x14ac:dyDescent="0.25">
      <c r="A28" s="5" t="s">
        <v>141</v>
      </c>
      <c r="B28" t="s">
        <v>160</v>
      </c>
      <c r="C28" t="s">
        <v>154</v>
      </c>
    </row>
    <row r="29" spans="1:5" x14ac:dyDescent="0.25">
      <c r="A29" s="6" t="s">
        <v>161</v>
      </c>
      <c r="B29">
        <v>2596</v>
      </c>
      <c r="C29">
        <v>2596</v>
      </c>
    </row>
    <row r="30" spans="1:5" x14ac:dyDescent="0.25">
      <c r="A30" s="6" t="s">
        <v>162</v>
      </c>
      <c r="B30">
        <v>5273</v>
      </c>
      <c r="C30">
        <v>5273</v>
      </c>
    </row>
    <row r="31" spans="1:5" x14ac:dyDescent="0.25">
      <c r="A31" s="6" t="s">
        <v>163</v>
      </c>
      <c r="B31">
        <v>4098</v>
      </c>
      <c r="C31">
        <v>4098</v>
      </c>
    </row>
    <row r="32" spans="1:5" x14ac:dyDescent="0.25">
      <c r="A32" s="6" t="s">
        <v>164</v>
      </c>
      <c r="B32">
        <v>8476</v>
      </c>
      <c r="C32">
        <v>8476</v>
      </c>
    </row>
    <row r="33" spans="1:3" x14ac:dyDescent="0.25">
      <c r="A33" s="6" t="s">
        <v>154</v>
      </c>
      <c r="B33">
        <v>20443</v>
      </c>
      <c r="C33">
        <v>20443</v>
      </c>
    </row>
    <row r="38" spans="1:3" x14ac:dyDescent="0.25">
      <c r="A38" s="7" t="s">
        <v>168</v>
      </c>
      <c r="B38" s="8" t="s">
        <v>165</v>
      </c>
    </row>
    <row r="41" spans="1:3" x14ac:dyDescent="0.25">
      <c r="A41" s="5" t="s">
        <v>141</v>
      </c>
      <c r="B41" t="s">
        <v>166</v>
      </c>
    </row>
    <row r="42" spans="1:3" x14ac:dyDescent="0.25">
      <c r="A42" s="6" t="s">
        <v>142</v>
      </c>
      <c r="B42">
        <v>1197.3333333333333</v>
      </c>
    </row>
    <row r="43" spans="1:3" x14ac:dyDescent="0.25">
      <c r="A43" s="6" t="s">
        <v>143</v>
      </c>
      <c r="B43">
        <v>1187.25</v>
      </c>
    </row>
    <row r="44" spans="1:3" x14ac:dyDescent="0.25">
      <c r="A44" s="6" t="s">
        <v>144</v>
      </c>
      <c r="B44">
        <v>787</v>
      </c>
    </row>
    <row r="45" spans="1:3" x14ac:dyDescent="0.25">
      <c r="A45" s="6" t="s">
        <v>145</v>
      </c>
      <c r="B45">
        <v>1092.75</v>
      </c>
    </row>
    <row r="46" spans="1:3" x14ac:dyDescent="0.25">
      <c r="A46" s="6" t="s">
        <v>146</v>
      </c>
      <c r="B46">
        <v>1025.8</v>
      </c>
    </row>
    <row r="47" spans="1:3" x14ac:dyDescent="0.25">
      <c r="A47" s="6" t="s">
        <v>147</v>
      </c>
      <c r="B47">
        <v>676.8</v>
      </c>
    </row>
    <row r="48" spans="1:3" x14ac:dyDescent="0.25">
      <c r="A48" s="6" t="s">
        <v>148</v>
      </c>
      <c r="B48">
        <v>901.5</v>
      </c>
    </row>
    <row r="49" spans="1:13" x14ac:dyDescent="0.25">
      <c r="A49" s="6" t="s">
        <v>149</v>
      </c>
      <c r="B49">
        <v>1142.5</v>
      </c>
    </row>
    <row r="50" spans="1:13" x14ac:dyDescent="0.25">
      <c r="A50" s="6" t="s">
        <v>150</v>
      </c>
      <c r="B50">
        <v>519.6</v>
      </c>
    </row>
    <row r="51" spans="1:13" x14ac:dyDescent="0.25">
      <c r="A51" s="6" t="s">
        <v>151</v>
      </c>
      <c r="B51">
        <v>1208.6666666666667</v>
      </c>
    </row>
    <row r="52" spans="1:13" x14ac:dyDescent="0.25">
      <c r="A52" s="6" t="s">
        <v>152</v>
      </c>
      <c r="B52">
        <v>874.57142857142856</v>
      </c>
    </row>
    <row r="53" spans="1:13" x14ac:dyDescent="0.25">
      <c r="A53" s="6" t="s">
        <v>153</v>
      </c>
      <c r="B53">
        <v>682.2</v>
      </c>
    </row>
    <row r="54" spans="1:13" x14ac:dyDescent="0.25">
      <c r="A54" s="6" t="s">
        <v>154</v>
      </c>
      <c r="B54">
        <v>904.68</v>
      </c>
    </row>
    <row r="58" spans="1:13" x14ac:dyDescent="0.25">
      <c r="A58" s="7" t="s">
        <v>171</v>
      </c>
      <c r="B58" s="8" t="s">
        <v>167</v>
      </c>
    </row>
    <row r="62" spans="1:13" x14ac:dyDescent="0.25">
      <c r="A62" s="5" t="s">
        <v>141</v>
      </c>
      <c r="B62" t="s">
        <v>166</v>
      </c>
      <c r="M62" t="s">
        <v>170</v>
      </c>
    </row>
    <row r="63" spans="1:13" x14ac:dyDescent="0.25">
      <c r="A63" s="6" t="s">
        <v>142</v>
      </c>
      <c r="B63">
        <v>1197.3333333333333</v>
      </c>
    </row>
    <row r="64" spans="1:13" x14ac:dyDescent="0.25">
      <c r="A64" s="6" t="s">
        <v>143</v>
      </c>
      <c r="B64">
        <v>1187.25</v>
      </c>
    </row>
    <row r="65" spans="1:2" x14ac:dyDescent="0.25">
      <c r="A65" s="6" t="s">
        <v>144</v>
      </c>
      <c r="B65">
        <v>787</v>
      </c>
    </row>
    <row r="66" spans="1:2" x14ac:dyDescent="0.25">
      <c r="A66" s="6" t="s">
        <v>145</v>
      </c>
      <c r="B66">
        <v>1092.75</v>
      </c>
    </row>
    <row r="67" spans="1:2" x14ac:dyDescent="0.25">
      <c r="A67" s="6" t="s">
        <v>146</v>
      </c>
      <c r="B67">
        <v>1025.8</v>
      </c>
    </row>
    <row r="68" spans="1:2" x14ac:dyDescent="0.25">
      <c r="A68" s="6" t="s">
        <v>147</v>
      </c>
      <c r="B68">
        <v>676.8</v>
      </c>
    </row>
    <row r="69" spans="1:2" x14ac:dyDescent="0.25">
      <c r="A69" s="6" t="s">
        <v>148</v>
      </c>
      <c r="B69">
        <v>901.5</v>
      </c>
    </row>
    <row r="70" spans="1:2" x14ac:dyDescent="0.25">
      <c r="A70" s="6" t="s">
        <v>149</v>
      </c>
      <c r="B70">
        <v>1142.5</v>
      </c>
    </row>
    <row r="71" spans="1:2" x14ac:dyDescent="0.25">
      <c r="A71" s="6" t="s">
        <v>150</v>
      </c>
      <c r="B71">
        <v>519.6</v>
      </c>
    </row>
    <row r="72" spans="1:2" x14ac:dyDescent="0.25">
      <c r="A72" s="6" t="s">
        <v>151</v>
      </c>
      <c r="B72">
        <v>1208.6666666666667</v>
      </c>
    </row>
    <row r="73" spans="1:2" x14ac:dyDescent="0.25">
      <c r="A73" s="6" t="s">
        <v>152</v>
      </c>
      <c r="B73">
        <v>874.57142857142856</v>
      </c>
    </row>
    <row r="74" spans="1:2" x14ac:dyDescent="0.25">
      <c r="A74" s="6" t="s">
        <v>153</v>
      </c>
      <c r="B74">
        <v>682.2</v>
      </c>
    </row>
    <row r="75" spans="1:2" x14ac:dyDescent="0.25">
      <c r="A75" s="6" t="s">
        <v>154</v>
      </c>
      <c r="B75">
        <v>904.68</v>
      </c>
    </row>
    <row r="80" spans="1:2" x14ac:dyDescent="0.25">
      <c r="A80" s="7" t="s">
        <v>172</v>
      </c>
      <c r="B80" s="8" t="s">
        <v>173</v>
      </c>
    </row>
    <row r="84" spans="1:2" x14ac:dyDescent="0.25">
      <c r="A84" s="5" t="s">
        <v>141</v>
      </c>
      <c r="B84" t="s">
        <v>166</v>
      </c>
    </row>
    <row r="85" spans="1:2" x14ac:dyDescent="0.25">
      <c r="A85" s="6" t="s">
        <v>161</v>
      </c>
      <c r="B85">
        <v>1070.2</v>
      </c>
    </row>
    <row r="86" spans="1:2" x14ac:dyDescent="0.25">
      <c r="A86" s="9" t="s">
        <v>26</v>
      </c>
      <c r="B86">
        <v>489</v>
      </c>
    </row>
    <row r="87" spans="1:2" x14ac:dyDescent="0.25">
      <c r="A87" s="9" t="s">
        <v>35</v>
      </c>
      <c r="B87">
        <v>1046</v>
      </c>
    </row>
    <row r="88" spans="1:2" x14ac:dyDescent="0.25">
      <c r="A88" s="9" t="s">
        <v>53</v>
      </c>
      <c r="B88">
        <v>561</v>
      </c>
    </row>
    <row r="89" spans="1:2" x14ac:dyDescent="0.25">
      <c r="A89" s="9" t="s">
        <v>86</v>
      </c>
      <c r="B89">
        <v>2035</v>
      </c>
    </row>
    <row r="90" spans="1:2" x14ac:dyDescent="0.25">
      <c r="A90" s="9" t="s">
        <v>95</v>
      </c>
      <c r="B90">
        <v>709</v>
      </c>
    </row>
    <row r="91" spans="1:2" x14ac:dyDescent="0.25">
      <c r="A91" s="9" t="s">
        <v>97</v>
      </c>
      <c r="B91">
        <v>1623</v>
      </c>
    </row>
    <row r="92" spans="1:2" x14ac:dyDescent="0.25">
      <c r="A92" s="9" t="s">
        <v>109</v>
      </c>
      <c r="B92">
        <v>1623</v>
      </c>
    </row>
    <row r="93" spans="1:2" x14ac:dyDescent="0.25">
      <c r="A93" s="9" t="s">
        <v>113</v>
      </c>
      <c r="B93">
        <v>794</v>
      </c>
    </row>
    <row r="94" spans="1:2" x14ac:dyDescent="0.25">
      <c r="A94" s="9" t="s">
        <v>125</v>
      </c>
      <c r="B94">
        <v>511</v>
      </c>
    </row>
    <row r="95" spans="1:2" x14ac:dyDescent="0.25">
      <c r="A95" s="9" t="s">
        <v>134</v>
      </c>
      <c r="B95">
        <v>1311</v>
      </c>
    </row>
    <row r="96" spans="1:2" x14ac:dyDescent="0.25">
      <c r="A96" s="6" t="s">
        <v>162</v>
      </c>
      <c r="B96">
        <v>920.28571428571433</v>
      </c>
    </row>
    <row r="97" spans="1:2" x14ac:dyDescent="0.25">
      <c r="A97" s="6" t="s">
        <v>163</v>
      </c>
      <c r="B97">
        <v>771.72727272727275</v>
      </c>
    </row>
    <row r="98" spans="1:2" x14ac:dyDescent="0.25">
      <c r="A98" s="6" t="s">
        <v>164</v>
      </c>
      <c r="B98">
        <v>877.26666666666665</v>
      </c>
    </row>
    <row r="99" spans="1:2" x14ac:dyDescent="0.25">
      <c r="A99" s="6" t="s">
        <v>154</v>
      </c>
      <c r="B99">
        <v>904.68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dilip pawar</dc:creator>
  <cp:lastModifiedBy>dilip pawar</cp:lastModifiedBy>
  <dcterms:created xsi:type="dcterms:W3CDTF">2026-09-23T08:55:47Z</dcterms:created>
  <dcterms:modified xsi:type="dcterms:W3CDTF">2026-09-26T05:50:40Z</dcterms:modified>
</cp:coreProperties>
</file>