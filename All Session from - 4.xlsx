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mc:AlternateContent xmlns:mc="http://schemas.openxmlformats.org/markup-compatibility/2006">
    <mc:Choice Requires="x15">
      <x15ac:absPath xmlns:x15ac="http://schemas.microsoft.com/office/spreadsheetml/2010/11/ac" url="https://d.docs.live.net/48a33403e70c3ed1/Desktop/Data Analyst course/"/>
    </mc:Choice>
  </mc:AlternateContent>
  <xr:revisionPtr revIDLastSave="14" documentId="11_63D500F7762DBAACE36C0035BED149ED538DFD9D" xr6:coauthVersionLast="47" xr6:coauthVersionMax="47" xr10:uidLastSave="{8A42EA6C-7E35-45C6-8BE7-C9816EE1B936}"/>
  <bookViews>
    <workbookView xWindow="-114" yWindow="-114" windowWidth="27602" windowHeight="14927" xr2:uid="{00000000-000D-0000-FFFF-FFFF00000000}"/>
  </bookViews>
  <sheets>
    <sheet name="Session - 2" sheetId="5" r:id="rId1"/>
    <sheet name="Session - 4" sheetId="6" r:id="rId2"/>
    <sheet name="Session - 5" sheetId="1" r:id="rId3"/>
    <sheet name="Session - 6" sheetId="2" r:id="rId4"/>
    <sheet name="Session - 7" sheetId="3" r:id="rId5"/>
    <sheet name="Session - 8" sheetId="4" r:id="rId6"/>
    <sheet name="Session - 9" sheetId="9" r:id="rId7"/>
    <sheet name="Session - 11" sheetId="7" r:id="rId8"/>
    <sheet name="Session - 12" sheetId="8" r:id="rId9"/>
  </sheets>
  <definedNames>
    <definedName name="_xlnm._FilterDatabase" localSheetId="1" hidden="1">'Session - 4'!$B$26:$F$46</definedName>
    <definedName name="_xlnm.Criteria" localSheetId="1">'Session - 4'!$H$26:$I$27</definedName>
    <definedName name="_xlnm.Extract" localSheetId="1">'Session - 4'!$K$26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8" i="5" l="1"/>
  <c r="M30" i="7" a="1"/>
  <c r="M30" i="7"/>
  <c r="M19" i="7" a="1"/>
  <c r="M19" i="7"/>
  <c r="M7" i="7" a="1"/>
  <c r="M7" i="7"/>
  <c r="I5" i="7"/>
  <c r="H5" i="7"/>
  <c r="G5" i="7"/>
  <c r="F5" i="7"/>
  <c r="J60" i="4"/>
  <c r="J59" i="4"/>
  <c r="J58" i="4"/>
  <c r="J57" i="4"/>
  <c r="L56" i="4"/>
  <c r="J56" i="4"/>
  <c r="I47" i="4"/>
  <c r="I46" i="4"/>
  <c r="I45" i="4"/>
  <c r="I44" i="4"/>
  <c r="I43" i="4"/>
  <c r="L36" i="4"/>
  <c r="H36" i="4"/>
  <c r="L35" i="4"/>
  <c r="H35" i="4"/>
  <c r="L34" i="4"/>
  <c r="H34" i="4"/>
  <c r="L33" i="4"/>
  <c r="H33" i="4"/>
  <c r="L32" i="4"/>
  <c r="H32" i="4"/>
  <c r="K24" i="4"/>
  <c r="I24" i="4"/>
  <c r="K23" i="4"/>
  <c r="I23" i="4"/>
  <c r="K22" i="4"/>
  <c r="I22" i="4"/>
  <c r="K21" i="4"/>
  <c r="I21" i="4"/>
  <c r="K20" i="4"/>
  <c r="I20" i="4"/>
  <c r="K19" i="4"/>
  <c r="I19" i="4"/>
  <c r="K12" i="4"/>
  <c r="I12" i="4"/>
  <c r="H12" i="4"/>
  <c r="K11" i="4"/>
  <c r="I11" i="4"/>
  <c r="H11" i="4"/>
  <c r="K10" i="4"/>
  <c r="I10" i="4"/>
  <c r="H10" i="4"/>
  <c r="K9" i="4"/>
  <c r="I9" i="4"/>
  <c r="H9" i="4"/>
  <c r="K8" i="4"/>
  <c r="I8" i="4"/>
  <c r="H8" i="4"/>
  <c r="G42" i="3"/>
  <c r="E42" i="3"/>
  <c r="G41" i="3"/>
  <c r="E41" i="3"/>
  <c r="G40" i="3"/>
  <c r="E40" i="3"/>
  <c r="G39" i="3"/>
  <c r="E39" i="3"/>
  <c r="G38" i="3"/>
  <c r="E38" i="3"/>
  <c r="G37" i="3"/>
  <c r="E29" i="3"/>
  <c r="D29" i="3"/>
  <c r="E28" i="3"/>
  <c r="D28" i="3"/>
  <c r="E27" i="3"/>
  <c r="D27" i="3"/>
  <c r="E26" i="3"/>
  <c r="D26" i="3"/>
  <c r="E25" i="3"/>
  <c r="D25" i="3"/>
  <c r="E24" i="3"/>
  <c r="D24" i="3"/>
  <c r="E23" i="3"/>
  <c r="D23" i="3"/>
  <c r="F16" i="3"/>
  <c r="E16" i="3"/>
  <c r="D16" i="3"/>
  <c r="F15" i="3"/>
  <c r="E15" i="3"/>
  <c r="D15" i="3"/>
  <c r="F14" i="3"/>
  <c r="E14" i="3"/>
  <c r="D14" i="3"/>
  <c r="F13" i="3"/>
  <c r="E13" i="3"/>
  <c r="D13" i="3"/>
  <c r="F12" i="3"/>
  <c r="E12" i="3"/>
  <c r="D12" i="3"/>
  <c r="D4" i="3"/>
  <c r="C4" i="3"/>
  <c r="G47" i="2"/>
  <c r="F47" i="2"/>
  <c r="E47" i="2"/>
  <c r="G46" i="2"/>
  <c r="F46" i="2"/>
  <c r="E46" i="2"/>
  <c r="G45" i="2"/>
  <c r="F45" i="2"/>
  <c r="E45" i="2"/>
  <c r="G44" i="2"/>
  <c r="F44" i="2"/>
  <c r="E44" i="2"/>
  <c r="G43" i="2"/>
  <c r="F43" i="2"/>
  <c r="E43" i="2"/>
  <c r="E34" i="2"/>
  <c r="E33" i="2"/>
  <c r="E25" i="2"/>
  <c r="E24" i="2"/>
  <c r="E15" i="2"/>
  <c r="E8" i="2"/>
  <c r="E7" i="2"/>
  <c r="E6" i="2"/>
  <c r="E5" i="2"/>
  <c r="B42" i="1"/>
  <c r="E34" i="1"/>
  <c r="E33" i="1"/>
  <c r="E32" i="1"/>
  <c r="G25" i="1"/>
  <c r="F25" i="1"/>
  <c r="E25" i="1"/>
  <c r="D25" i="1"/>
  <c r="G24" i="1"/>
  <c r="F24" i="1"/>
  <c r="E24" i="1"/>
  <c r="D24" i="1"/>
  <c r="G23" i="1"/>
  <c r="F23" i="1"/>
  <c r="E23" i="1"/>
  <c r="D23" i="1"/>
  <c r="E15" i="1"/>
  <c r="E14" i="1"/>
  <c r="D6" i="1"/>
  <c r="D5" i="1"/>
  <c r="F23" i="5"/>
  <c r="F22" i="5"/>
  <c r="F21" i="5"/>
  <c r="F20" i="5"/>
  <c r="F19" i="5"/>
  <c r="F10" i="5"/>
  <c r="F9" i="5"/>
  <c r="F8" i="5"/>
  <c r="F7" i="5"/>
  <c r="F6"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<sst xmlns="http://schemas.openxmlformats.org/spreadsheetml/2006/main" count="677" uniqueCount="391">
  <si>
    <t>Task - 1</t>
  </si>
  <si>
    <t>In a new Excel sheet, enter a list of 5 food delivery apps (like Zomato, Swiggy, Uber Eats, Domino’s, Foodpanda) in column A and their average ratings (out of 5) in column B. 
Use a formula in column C to calculate the rating percentage for each app using absolute referencing for the maximum rating cell.</t>
  </si>
  <si>
    <t>Delivery App</t>
  </si>
  <si>
    <t>Average Rating</t>
  </si>
  <si>
    <t>Rating Percentage</t>
  </si>
  <si>
    <t xml:space="preserve">Zomato </t>
  </si>
  <si>
    <t>Swiggy</t>
  </si>
  <si>
    <t>Uber Eats</t>
  </si>
  <si>
    <t>Domino's</t>
  </si>
  <si>
    <t>Task - 2</t>
  </si>
  <si>
    <t>Create a table of 6 popular IPL teams in column A and their total wins in column B. Use mixed cell referencing to write a formula that multiplies each team's wins by a bonus factor stored in a single cell, so you can drag the formula down and get correct results for all teams. 
Hint: Lock the bonus factor cell using the $ symbol while allowing the row to change for team data.</t>
  </si>
  <si>
    <t>SR.</t>
  </si>
  <si>
    <t>IPL Team</t>
  </si>
  <si>
    <t>Total Match Wins</t>
  </si>
  <si>
    <t>Bonus</t>
  </si>
  <si>
    <t>CSK</t>
  </si>
  <si>
    <t>MI</t>
  </si>
  <si>
    <t>GT</t>
  </si>
  <si>
    <t>RCB</t>
  </si>
  <si>
    <t>RR</t>
  </si>
  <si>
    <t>DC</t>
  </si>
  <si>
    <t>Task - 3</t>
  </si>
  <si>
    <t>Define a named range called 'TopArtists' for a list of your 5 favorite music artists in Excel. Then, in another cell, use a formula to count how many artists are in the 'TopArtists' range.</t>
  </si>
  <si>
    <t>Top Artist</t>
  </si>
  <si>
    <t>Arijit Singh</t>
  </si>
  <si>
    <t>Shreya Ghoshal</t>
  </si>
  <si>
    <t>A.R. Rahman</t>
  </si>
  <si>
    <t>Sonu Nigam</t>
  </si>
  <si>
    <t>Atif Aslam</t>
  </si>
  <si>
    <t>Task - 4</t>
  </si>
  <si>
    <t>Set up data validation in an Excel sheet so that column B only allows users to select a payment method from a dropdown (UPI, Credit Card, Debit Card, Wallet, Net Banking) when entering transactions, similar to how Paytm lets you choose payment options.</t>
  </si>
  <si>
    <t>Task - 5</t>
  </si>
  <si>
    <t xml:space="preserve">Create a dynamic named range called 'RecentMovies' that automatically expands as you add new movie titles in column A. Then, apply data validation in column C so users can only select from the current list of 'RecentMovies' when entering their movie ratings. 
Hint: Use the OFFSET and COUNTA functions to define the dynamic range. </t>
  </si>
  <si>
    <t>Movie</t>
  </si>
  <si>
    <t>Toxic</t>
  </si>
  <si>
    <t>Spider-Man</t>
  </si>
  <si>
    <t>Lagan</t>
  </si>
  <si>
    <t>PK</t>
  </si>
  <si>
    <t>Robot</t>
  </si>
  <si>
    <t>In a new Excel sheet, create a table of 15 food delivery orders with columns: Order ID, Restaurant Name, Amount, and City. Use Advanced Filter to display only the orders where Amount &gt; 800 AND City is 'Ahmedabad'.</t>
  </si>
  <si>
    <t>Order ID</t>
  </si>
  <si>
    <t>Restaurant Name</t>
  </si>
  <si>
    <t>Amount</t>
  </si>
  <si>
    <t>City</t>
  </si>
  <si>
    <t>Maido</t>
  </si>
  <si>
    <t>Ahmedabad</t>
  </si>
  <si>
    <t>&gt;800</t>
  </si>
  <si>
    <t>Moti Mahal</t>
  </si>
  <si>
    <t>Asador Etxebarri</t>
  </si>
  <si>
    <t>Vadodara</t>
  </si>
  <si>
    <t>Barbeque Nation</t>
  </si>
  <si>
    <t>Gaggan</t>
  </si>
  <si>
    <t>Surat</t>
  </si>
  <si>
    <t>DiverXO</t>
  </si>
  <si>
    <t>Rajkot</t>
  </si>
  <si>
    <t>Sasumaa's Multi Cuisine</t>
  </si>
  <si>
    <t>Using a dataset of 20 online shopping transactions (Order No, Product, Price, Payment Method, Status), apply Advanced Filter with a criteria range to show all orders where Payment Method is 'UPI' OR Status is 'Delivered'. 
Hint: Use a separate criteria range with OR logic by placing conditions on different rows</t>
  </si>
  <si>
    <t>Order No</t>
  </si>
  <si>
    <t>Product</t>
  </si>
  <si>
    <t>Price</t>
  </si>
  <si>
    <t>Payment Method</t>
  </si>
  <si>
    <t>Status</t>
  </si>
  <si>
    <t>Mouse</t>
  </si>
  <si>
    <t>UPI</t>
  </si>
  <si>
    <t>Delivered</t>
  </si>
  <si>
    <t>Keyboard</t>
  </si>
  <si>
    <t>Cash On Delivery</t>
  </si>
  <si>
    <t>Mobile</t>
  </si>
  <si>
    <t>True Wireless</t>
  </si>
  <si>
    <t>Net Banking</t>
  </si>
  <si>
    <t>In-Trans</t>
  </si>
  <si>
    <t>Laptop</t>
  </si>
  <si>
    <t>LED TV</t>
  </si>
  <si>
    <t>All-In-One PC</t>
  </si>
  <si>
    <t>Washing Machin</t>
  </si>
  <si>
    <t>Micro Wave</t>
  </si>
  <si>
    <t>Water Filter</t>
  </si>
  <si>
    <t>Take a list of 12 movie bookings (Booking ID, Movie Name, Region, Seats Booked, Total Amount). Use Advanced Filter to copy all bookings with Total Amount &gt; 1000 AND Region = 'West' to a new location in the same sheet without affecting the original data.</t>
  </si>
  <si>
    <t>Booking Id</t>
  </si>
  <si>
    <t>Movie Name</t>
  </si>
  <si>
    <t>Seats Booked</t>
  </si>
  <si>
    <t>Total Amount</t>
  </si>
  <si>
    <t>Mirzapur : The Movie</t>
  </si>
  <si>
    <t>AwaraPan</t>
  </si>
  <si>
    <t>Awarapan 2</t>
  </si>
  <si>
    <t>Batwara 1947</t>
  </si>
  <si>
    <t>Logan</t>
  </si>
  <si>
    <t>SuperMan</t>
  </si>
  <si>
    <t>Bat Man</t>
  </si>
  <si>
    <t>Ra-one</t>
  </si>
  <si>
    <t>Create a table of 10 Instagram influencer campaigns (Campaign ID, Influencer Name, Followers, Engagement Rate, Platform). Set up two custom views: one that shows only campaigns with Engagement Rate above 5%, and another that shows only campaigns on the 'YouTube' platform. 
Hint: Use the Custom Views feature in Excel to save and switch between these filtered views.</t>
  </si>
  <si>
    <t>Campaign ID</t>
  </si>
  <si>
    <t>Influencer Name</t>
  </si>
  <si>
    <t>Followers</t>
  </si>
  <si>
    <t>Engagement Rate</t>
  </si>
  <si>
    <t>Plateform</t>
  </si>
  <si>
    <t>C001</t>
  </si>
  <si>
    <t>Aisha Patel</t>
  </si>
  <si>
    <t>Instagram</t>
  </si>
  <si>
    <t>C002</t>
  </si>
  <si>
    <t>Rahul Mehta</t>
  </si>
  <si>
    <t>YouTube</t>
  </si>
  <si>
    <t>C003</t>
  </si>
  <si>
    <t>Neha Sharma</t>
  </si>
  <si>
    <t>C004</t>
  </si>
  <si>
    <t>Arjun Verma</t>
  </si>
  <si>
    <t>C005</t>
  </si>
  <si>
    <t>Priya Shah</t>
  </si>
  <si>
    <t>C006</t>
  </si>
  <si>
    <t>Karan Joshi</t>
  </si>
  <si>
    <t>C007</t>
  </si>
  <si>
    <t>Simran Kaur</t>
  </si>
  <si>
    <t>C008</t>
  </si>
  <si>
    <t>Dev Malhotra</t>
  </si>
  <si>
    <t>C009</t>
  </si>
  <si>
    <t>Riya Desai</t>
  </si>
  <si>
    <t>C010</t>
  </si>
  <si>
    <t>Aditya Rao</t>
  </si>
  <si>
    <t>Use the LEFT function in Excel to extract the first 4 characters from each product name in a list like 'iPhone-Apple', 'Galaxy-Samsung', and display the result in a new column.</t>
  </si>
  <si>
    <t>Product Name</t>
  </si>
  <si>
    <t>Left Function'</t>
  </si>
  <si>
    <t>iPhone-Apple</t>
  </si>
  <si>
    <t>Galaxy-Samsung</t>
  </si>
  <si>
    <t>Given a column of order IDs like 'ODR-2024-GJ', use the RIGHT function to extract the last 2 characters (the state code) for each row and display them in a separate column.</t>
  </si>
  <si>
    <t>Order IDs</t>
  </si>
  <si>
    <t>Right Function</t>
  </si>
  <si>
    <t>ODR-2024-GJ</t>
  </si>
  <si>
    <t>ODR-2025-MH</t>
  </si>
  <si>
    <t>TasK-3</t>
  </si>
  <si>
    <t>Use the MID function to extract the username from a list of email addresses in the format 'username@gmail.com' (for example, 'virat18@gmail.com' → 'virat18').Hint: Use the MID function with FIND to locate the position of '@'.</t>
  </si>
  <si>
    <t>Email ID</t>
  </si>
  <si>
    <t>Mid Function</t>
  </si>
  <si>
    <t>Find function</t>
  </si>
  <si>
    <t>mid function</t>
  </si>
  <si>
    <t>=MID(B23,1,FIND("@",B23)-1)</t>
  </si>
  <si>
    <t>virat18@gmail.com</t>
  </si>
  <si>
    <t>dhoni118@gmail.com</t>
  </si>
  <si>
    <t>sachin08@gmail.com</t>
  </si>
  <si>
    <t>TasK-4</t>
  </si>
  <si>
    <t>Format a list of cricket scores in Excel (e.g., 156, 210, 98) to display them as '156 runs', '210 runs', etc., using the TEXT function.</t>
  </si>
  <si>
    <t>Player</t>
  </si>
  <si>
    <t>Score</t>
  </si>
  <si>
    <t>Concat Function</t>
  </si>
  <si>
    <t>runs</t>
  </si>
  <si>
    <t>Virat</t>
  </si>
  <si>
    <t>Dhoni</t>
  </si>
  <si>
    <t>Sachin</t>
  </si>
  <si>
    <t>TasK-5</t>
  </si>
  <si>
    <t>Create a column in Excel that repeats the word 'SALE' as many times as the number in an adjacent cell (e.g., if the cell has 3, display 'SALESALESALE'), using the REPT function. Constraint: Do not use any helper columns or VBA.</t>
  </si>
  <si>
    <t>Rept Function</t>
  </si>
  <si>
    <t>Formula</t>
  </si>
  <si>
    <t>=REPT("Sale ",3)</t>
  </si>
  <si>
    <t>Open a new Excel sheet and use the TRIM function to clean up a list of food delivery app user names that have extra spaces, such as ' anjali mehta ', ' RAVI PATEL', and ' Priya Singh '.</t>
  </si>
  <si>
    <t>=TRIM(TEXT)</t>
  </si>
  <si>
    <t>User Name</t>
  </si>
  <si>
    <t>Trim Function</t>
  </si>
  <si>
    <t xml:space="preserve"> anjali mehta</t>
  </si>
  <si>
    <t xml:space="preserve"> RAVI PATEL   </t>
  </si>
  <si>
    <t xml:space="preserve">   Priya Singh</t>
  </si>
  <si>
    <t>Vijay     Singh</t>
  </si>
  <si>
    <t>Given a column of WhatsApp group names with random non-printable characters (like line breaks or symbols), use the CLEAN function to remove all unwanted characters and display the cleaned group names in a new column.</t>
  </si>
  <si>
    <t>WhatsApp Group Name</t>
  </si>
  <si>
    <t>Clean function</t>
  </si>
  <si>
    <t xml:space="preserve">Family 
Group      </t>
  </si>
  <si>
    <t>You have a list of song titles from Spotify where some use underscores instead of spaces (e.g., 'Shape_of_You', 'Blinding_Lights'). Use the SUBSTITUTE function to replace all underscores with spaces for each title.</t>
  </si>
  <si>
    <t>Spotify Play-List</t>
  </si>
  <si>
    <t>Substitute function</t>
  </si>
  <si>
    <t>Shape_of_You</t>
  </si>
  <si>
    <t>=SUBSTITUTE(E24,"_"," ")</t>
  </si>
  <si>
    <t>Blinding_Lights</t>
  </si>
  <si>
    <t>Take a column of influencer names from Instagram in mixed cases and inconsistent formatting (e.g., 'vIshAl PATEL', ' aNkuR SHAH ') and apply a combination of TRIM, CLEAN, and PROPER functions to output perfectly formatted names like 'Vishal Patel' and 'Ankur Shah'. Hint Nest the functions to achieve the cleanest result in a single formula.</t>
  </si>
  <si>
    <t>Influencer Names</t>
  </si>
  <si>
    <t>Nested function</t>
  </si>
  <si>
    <t xml:space="preserve">  vIshAl   
PATEL</t>
  </si>
  <si>
    <t>=PROPER(TRIM(CLEAN(E33)))</t>
  </si>
  <si>
    <t xml:space="preserve">   aNkuR     SHAH</t>
  </si>
  <si>
    <t>Given a list of Flipkart product names in all uppercase, use Excel functions to convert them to lowercase, and then again to proper case (first letter capitalized). Show all three versions side by side.</t>
  </si>
  <si>
    <t>O_Id</t>
  </si>
  <si>
    <t>Lower Case</t>
  </si>
  <si>
    <t>Proper Case</t>
  </si>
  <si>
    <t>Upper Case</t>
  </si>
  <si>
    <t>01</t>
  </si>
  <si>
    <t>KEYBOARD</t>
  </si>
  <si>
    <t>02</t>
  </si>
  <si>
    <t>MOUSE</t>
  </si>
  <si>
    <t>03</t>
  </si>
  <si>
    <t>PRINTER</t>
  </si>
  <si>
    <t>04</t>
  </si>
  <si>
    <t>LAPTOP</t>
  </si>
  <si>
    <t>05</t>
  </si>
  <si>
    <t>SPEAKER</t>
  </si>
  <si>
    <t>Open a new Excel sheet and use the TODAY() and NOW() functions to display the current date and current time in two separate cells.</t>
  </si>
  <si>
    <t>Today Function</t>
  </si>
  <si>
    <t>Now Function</t>
  </si>
  <si>
    <t>Given a list of 5 friends' birthdays in column A, use the YEAR(), MONTH(), and DAY() functions in columns B, C, and D to extract and display the year, month, and day for each birthday.</t>
  </si>
  <si>
    <t>Date Of Birth</t>
  </si>
  <si>
    <t>Year()</t>
  </si>
  <si>
    <t>Month()</t>
  </si>
  <si>
    <t>Day()</t>
  </si>
  <si>
    <t>Imagine you are tracking your favorite IPL team's matches. In column A, enter the match dates for the current season. In column B, use the NETWORKDAYS function to calculate the number of working days between each match date and today. Hint: Assume weekends are non-working days and ignore holidays.</t>
  </si>
  <si>
    <t>Match Date</t>
  </si>
  <si>
    <t>Networkdays</t>
  </si>
  <si>
    <t>Networkdays (5 working days)</t>
  </si>
  <si>
    <t>Create a table with two columns: 'Order Date' (when you placed an order on Flipkart) and 'Delivery Date' (when it arrived). Use the DATEDIF function to calculate the number of days taken for delivery for each order.</t>
  </si>
  <si>
    <t>O_id</t>
  </si>
  <si>
    <t>Order Date</t>
  </si>
  <si>
    <t>Delivery Date</t>
  </si>
  <si>
    <t>DateIF Function</t>
  </si>
  <si>
    <t>Memory Card</t>
  </si>
  <si>
    <t>CPU</t>
  </si>
  <si>
    <t>06</t>
  </si>
  <si>
    <t>HDD</t>
  </si>
  <si>
    <t>You want to know how many months you have been using your Spotify account. In one cell, enter your Spotify signup date. In another cell, use the EOMONTH function to find the last day of the current month, then calculate the total number of months since your signup date using DATEDIF. Hint:  Use DATEDIF with the 'm' unit for months.</t>
  </si>
  <si>
    <t>Task-1</t>
  </si>
  <si>
    <t>Use the IF function in Excel to create a column that labels each order in a food delivery dataset as 'High Value' if the total amount is Rs.500 or more, otherwise 'Regular'.</t>
  </si>
  <si>
    <t>Foods &amp; Beverages</t>
  </si>
  <si>
    <t>QTY</t>
  </si>
  <si>
    <t>Answer</t>
  </si>
  <si>
    <t>Burger</t>
  </si>
  <si>
    <t>Pizza</t>
  </si>
  <si>
    <t>Sandwitch</t>
  </si>
  <si>
    <t>Coca Cola</t>
  </si>
  <si>
    <t>Cake</t>
  </si>
  <si>
    <t>Task-2</t>
  </si>
  <si>
    <t>Given a list of cricket players and their total runs, use a nested IF formula in Excel to assign a player rating: 'Star' for 1000+ runs, 'Pro' for 700-999, 'Rising' for 400-699, and 'Newbie' for below 400.
Hint: Use multiple IF statements inside each other to handle all categories.</t>
  </si>
  <si>
    <t>Test Match</t>
  </si>
  <si>
    <t>ID</t>
  </si>
  <si>
    <t>Player Name</t>
  </si>
  <si>
    <t>Day 1</t>
  </si>
  <si>
    <t>Day 2</t>
  </si>
  <si>
    <t>Day 3</t>
  </si>
  <si>
    <t>Day 4</t>
  </si>
  <si>
    <t>Total Run</t>
  </si>
  <si>
    <t>Virat Kohli</t>
  </si>
  <si>
    <t>=IF(J19&gt;=1000,"Star",IF(J19&gt;=700,"Pro",IF(J19&gt;=400,"Rising","Newbie")))</t>
  </si>
  <si>
    <t>M S Dhoni</t>
  </si>
  <si>
    <t>Youraj Singh</t>
  </si>
  <si>
    <t>Hardik Pandiya</t>
  </si>
  <si>
    <t>Rohit Sharma</t>
  </si>
  <si>
    <t>Sumit Sharma</t>
  </si>
  <si>
    <t>Task-3</t>
  </si>
  <si>
    <t>In an Excel sheet of Flipkart orders, add a column that shows 'Eligible' if the payment method is 'Prepaid' AND the order status is 'Delivered' using the AND function with IF.</t>
  </si>
  <si>
    <t>Payment</t>
  </si>
  <si>
    <t>Speaker</t>
  </si>
  <si>
    <t>Prepaid</t>
  </si>
  <si>
    <t>Ear Phone</t>
  </si>
  <si>
    <t>Task-4</t>
  </si>
  <si>
    <t>For a playlist dataset (song name, artist, isDownloaded, isFavorite), use the OR function with IF to mark songs as 'Quick Access' if they are either downloaded OR marked as favorite.</t>
  </si>
  <si>
    <t>No.</t>
  </si>
  <si>
    <t>Song Name</t>
  </si>
  <si>
    <t>Artist</t>
  </si>
  <si>
    <t>Downloaded</t>
  </si>
  <si>
    <t>Favorite</t>
  </si>
  <si>
    <t>Quick Access</t>
  </si>
  <si>
    <t>Tum Hi Ho</t>
  </si>
  <si>
    <t>Yes</t>
  </si>
  <si>
    <t>Galliyan</t>
  </si>
  <si>
    <t>Ankit Tiwari</t>
  </si>
  <si>
    <t>No</t>
  </si>
  <si>
    <t>Dilbar</t>
  </si>
  <si>
    <t>Neha Kakkar</t>
  </si>
  <si>
    <t>Moh Moh Ke Dhaage</t>
  </si>
  <si>
    <t>Papon</t>
  </si>
  <si>
    <t>Lungi Dance</t>
  </si>
  <si>
    <t>Honey Singh</t>
  </si>
  <si>
    <t>Task-5</t>
  </si>
  <si>
    <t>Use the XOR function with IF in Excel to flag Zomato orders as 'Suspicious' only if exactly one of these is true: the delivery address is new OR the payment is by cash, but not both or neither. 
Hint: XOR returns TRUE only when exactly one condition is true.</t>
  </si>
  <si>
    <t>Address</t>
  </si>
  <si>
    <t>New</t>
  </si>
  <si>
    <t>Cash</t>
  </si>
  <si>
    <t>Old</t>
  </si>
  <si>
    <t>Given a table of IPL cricket match scores by Team (rows) and Match Date (columns), use the INDEX and MATCH functions to return the score for 'Gujarat Titans' on '2024-04-15'.</t>
  </si>
  <si>
    <t>Date</t>
  </si>
  <si>
    <t>Row</t>
  </si>
  <si>
    <t>Column</t>
  </si>
  <si>
    <t>=INDEX(C5:I11,MATCH(K6,C5:C11,FALSE()),MATCH(L6,C5:I5,FALSE()))</t>
  </si>
  <si>
    <t>SRH</t>
  </si>
  <si>
    <t>Create a Flipkart-style product price sheet with Product Names as rows and Cities as columns. Write a formula using MATCH-MATCH inside INDEX to find the price of 'iPhone 15' in 'Ahmedabad'.</t>
  </si>
  <si>
    <t>Jamnagar</t>
  </si>
  <si>
    <t>Samsung</t>
  </si>
  <si>
    <t>Iphone</t>
  </si>
  <si>
    <t>=INDEX(C18:H23,MATCH(K19,C18:H18,FALSE()),MATCH(L19,C19:C23,FALSE()))</t>
  </si>
  <si>
    <t>Ipad</t>
  </si>
  <si>
    <t>Vivo</t>
  </si>
  <si>
    <t>Sony</t>
  </si>
  <si>
    <t>You have a Spotify playlist data table with Song Names in rows and Months in columns. Write a two-way lookup formula using INDEX and MATCH to find how many times 'Kesariya' was played in 'March'. 
Hint: Use MATCH to get both the row and column numbers for INDEX.</t>
  </si>
  <si>
    <t>January</t>
  </si>
  <si>
    <t>February</t>
  </si>
  <si>
    <t>March</t>
  </si>
  <si>
    <t>April</t>
  </si>
  <si>
    <t>Kesariya</t>
  </si>
  <si>
    <t>kesariya</t>
  </si>
  <si>
    <t>march</t>
  </si>
  <si>
    <t>Apna Bana Le</t>
  </si>
  <si>
    <t>Heeriye</t>
  </si>
  <si>
    <t>Chaleya</t>
  </si>
  <si>
    <t>A Zomato sales table lists Restaurant Names as rows and Weekdays as columns. The VLOOKUP formula fails to fetch the correct sales for 'Burger Hub' on 'Friday' because the column order changes. Rewrite the lookup using INDEX and MATCH to avoid this limitation.</t>
  </si>
  <si>
    <t>Open an Excel sheet with a list of song names and artists (at least 20 rows, with some duplicate song names), and use Conditional Formatting to highlight all duplicate song names in yellow.</t>
  </si>
  <si>
    <t>Tera Ban Jaunga</t>
  </si>
  <si>
    <t>Akhil Sachdeva</t>
  </si>
  <si>
    <t>Jasleen Royal</t>
  </si>
  <si>
    <t>O Maahi</t>
  </si>
  <si>
    <t>Aaj Ki Raat</t>
  </si>
  <si>
    <t>Madhubanti Bagchi</t>
  </si>
  <si>
    <t>Pehle Bhi Main</t>
  </si>
  <si>
    <t>Vishal Mishra</t>
  </si>
  <si>
    <t>Satranga</t>
  </si>
  <si>
    <t>Ve Kamleya</t>
  </si>
  <si>
    <t>Pritam</t>
  </si>
  <si>
    <t>Tujhe Kitna Chahne Lage</t>
  </si>
  <si>
    <t>Raataan Lambiyan</t>
  </si>
  <si>
    <t>Jubin Nautiyal</t>
  </si>
  <si>
    <t>Maan Meri Jaan</t>
  </si>
  <si>
    <t>King</t>
  </si>
  <si>
    <t>Until I Found You</t>
  </si>
  <si>
    <t>Stephen Sanchez</t>
  </si>
  <si>
    <t>Perfect</t>
  </si>
  <si>
    <t>Ed Sheeran</t>
  </si>
  <si>
    <t>Shape of You</t>
  </si>
  <si>
    <t>Blinding Lights</t>
  </si>
  <si>
    <t>The Weeknd</t>
  </si>
  <si>
    <t>Love Me Like You Do</t>
  </si>
  <si>
    <t>Ellie Goulding</t>
  </si>
  <si>
    <t>Given a table of Flipkart product prices, apply a Color Scale conditional formatting rule so that the highest prices show in dark green, the lowest in red, and the rest in gradient colors.</t>
  </si>
  <si>
    <t>Products</t>
  </si>
  <si>
    <t>LCD TV</t>
  </si>
  <si>
    <t>Pendrive</t>
  </si>
  <si>
    <t>Ram</t>
  </si>
  <si>
    <t>SSD</t>
  </si>
  <si>
    <t>Create a list of your last 15 Zomato orders with their ratings (1-5 stars) in Excel, and use Icon Sets (traffic lights) to visually indicate: green for ratings 4 and above, yellow for 3, red for below 3. 
Hint: Choose the 'Traffic Lights' icon set and set custom rules for each icon based on the rating values.</t>
  </si>
  <si>
    <t>Order No.</t>
  </si>
  <si>
    <t>Restaurant</t>
  </si>
  <si>
    <t xml:space="preserve">Rating </t>
  </si>
  <si>
    <t>La Pino'z Pizza</t>
  </si>
  <si>
    <t>Burger Singh</t>
  </si>
  <si>
    <t>Domino's Pizza</t>
  </si>
  <si>
    <t>The Good Bowl</t>
  </si>
  <si>
    <t>Behrouz Biryani</t>
  </si>
  <si>
    <t>McDonald's</t>
  </si>
  <si>
    <t>Subway</t>
  </si>
  <si>
    <t>Biryani Blues</t>
  </si>
  <si>
    <t>Wow! Momo</t>
  </si>
  <si>
    <t>Haldiram's</t>
  </si>
  <si>
    <t>Pizza Hut</t>
  </si>
  <si>
    <t>KFC</t>
  </si>
  <si>
    <t>Faasos</t>
  </si>
  <si>
    <t>Burger King</t>
  </si>
  <si>
    <t>Mio Amore</t>
  </si>
  <si>
    <t>In an Excel sheet of IPL players and their total runs, use Conditional Formatting to highlight the top 3 run-scorers in blue and the bottom 3 in orange.</t>
  </si>
  <si>
    <t>Team</t>
  </si>
  <si>
    <t>Total Runs</t>
  </si>
  <si>
    <t>Royal Challengers Bengaluru</t>
  </si>
  <si>
    <t>Shikhar Dhawan</t>
  </si>
  <si>
    <t>Punjab Kings</t>
  </si>
  <si>
    <t>Mumbai Indians</t>
  </si>
  <si>
    <t>David Warner</t>
  </si>
  <si>
    <t>Delhi Capitals</t>
  </si>
  <si>
    <t>Suresh Raina</t>
  </si>
  <si>
    <t>Chennai Super Kings</t>
  </si>
  <si>
    <t>AB de Villiers</t>
  </si>
  <si>
    <t>MS Dhoni</t>
  </si>
  <si>
    <t>Chris Gayle</t>
  </si>
  <si>
    <t>Robin Uthappa</t>
  </si>
  <si>
    <t>Dinesh Karthik</t>
  </si>
  <si>
    <t>Ajinkya Rahane</t>
  </si>
  <si>
    <t>Kolkata Knight Riders</t>
  </si>
  <si>
    <t>Ambati Rayudu</t>
  </si>
  <si>
    <t>Sanju Samson</t>
  </si>
  <si>
    <t>Rajasthan Royals</t>
  </si>
  <si>
    <t>Gautam Gambhir</t>
  </si>
  <si>
    <t>Faf du Plessis</t>
  </si>
  <si>
    <t>KL Rahul</t>
  </si>
  <si>
    <t>Ruturaj Gaikwad</t>
  </si>
  <si>
    <t>Shubman Gill</t>
  </si>
  <si>
    <t>Gujarat Titans</t>
  </si>
  <si>
    <t>Suryakumar Yadav</t>
  </si>
  <si>
    <t>Yashasvi Jaiswal</t>
  </si>
  <si>
    <t>Take an Excel table of monthly expenses and targets (e.g., for Swiggy, Myntra, Paytm, etc.), and set up a conditional formatting rule that colors the expense cell green if it is under the target, and red if it is over the target. 
Constraint: Do not use the same color-coding logic as the trainer's revenue demo—apply it to expenses vs. targets instead.</t>
  </si>
  <si>
    <t>Month</t>
  </si>
  <si>
    <t>Swiggy Expense</t>
  </si>
  <si>
    <t>Swiggy Target</t>
  </si>
  <si>
    <t>Myntra Expense</t>
  </si>
  <si>
    <t>Myntra Target</t>
  </si>
  <si>
    <t>Paytm Expense</t>
  </si>
  <si>
    <t>Paytm Target</t>
  </si>
  <si>
    <t>May</t>
  </si>
  <si>
    <t>June</t>
  </si>
  <si>
    <t>Foodpanda</t>
  </si>
  <si>
    <t>=D18*$G$17</t>
  </si>
  <si>
    <t>Arman Malik</t>
  </si>
  <si>
    <t>Kishor Kumar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</si>
</sst>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6" formatCode="dd/mm/yyyy;@"/>
    <numFmt numFmtId="167" formatCode="&quot;₹&quot;#,##0.00_);[Red]\(&quot;₹&quot;#,##0.00\)"/>
    <numFmt numFmtId="168" formatCode="m/d/yyyy;@"/>
  </numFmts>
  <fonts count="9">
    <font>
      <sz val="11"/>
      <color theme="1"/>
      <name val="Calibri"/>
      <charset val="134"/>
      <scheme val="minor"/>
    </font>
    <font>
      <b/>
      <sz val="11"/>
      <color theme="1"/>
      <name val="Calibri"/>
      <charset val="134"/>
      <scheme val="minor"/>
    </font>
    <font>
      <b/>
      <sz val="8.5500000000000007"/>
      <color theme="1"/>
      <name val="Segoe UI"/>
      <charset val="134"/>
    </font>
    <font>
      <sz val="11"/>
      <color rgb="FF000000"/>
      <name val="Calibri"/>
    </font>
    <font>
      <b/>
      <sz val="11"/>
      <color rgb="FF000000"/>
      <name val="Calibri"/>
    </font>
    <font>
      <b/>
      <sz val="8.5500000000000007"/>
      <name val="Segoe UI"/>
      <charset val="134"/>
    </font>
    <font>
      <b/>
      <sz val="11"/>
      <color theme="0"/>
      <name val="Calibri"/>
      <charset val="134"/>
      <scheme val="minor"/>
    </font>
    <font>
      <sz val="11"/>
      <color theme="1"/>
      <name val="Calibri"/>
      <scheme val="minor"/>
    </font>
    <font>
      <u/>
      <sz val="11"/>
      <color rgb="FF0000FF"/>
      <name val="Calibri"/>
      <scheme val="minor"/>
    </font>
  </fonts>
  <fills count="7">
    <fill>
      <patternFill patternType="none"/>
    </fill>
    <fill>
      <patternFill patternType="gray125"/>
    </fill>
    <fill>
      <patternFill patternType="solid">
        <fgColor theme="8" tint="-0.249977111117893"/>
        <bgColor indexed="64"/>
      </patternFill>
    </fill>
    <fill>
      <patternFill patternType="solid">
        <fgColor theme="4" tint="0.39997558519241921"/>
        <bgColor indexed="64"/>
      </patternFill>
    </fill>
    <fill>
      <patternFill patternType="solid">
        <fgColor theme="3"/>
        <bgColor indexed="64"/>
      </patternFill>
    </fill>
    <fill>
      <patternFill patternType="solid">
        <fgColor theme="3" tint="0.39997558519241921"/>
        <bgColor indexed="64"/>
      </patternFill>
    </fill>
    <fill>
      <patternFill patternType="solid">
        <fgColor theme="7"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8" fillId="0" borderId="0" applyNumberFormat="0" applyFill="0" applyBorder="0" applyAlignment="0" applyProtection="0">
      <alignment vertical="center"/>
    </xf>
  </cellStyleXfs>
  <cellXfs count="58">
    <xf numFmtId="0" fontId="0" fillId="0" borderId="0" xfId="0">
      <alignment vertical="center"/>
    </xf>
    <xf numFmtId="0" fontId="1" fillId="2" borderId="0" xfId="0" applyFont="1" applyFill="1">
      <alignment vertical="center"/>
    </xf>
    <xf numFmtId="0" fontId="2" fillId="0" borderId="0" xfId="0" applyFont="1" applyAlignment="1">
      <alignment horizontal="left" vertical="center"/>
    </xf>
    <xf numFmtId="0" fontId="0" fillId="3" borderId="0" xfId="0" applyFill="1" applyAlignment="1">
      <alignment horizontal="center" vertical="center"/>
    </xf>
    <xf numFmtId="0" fontId="0" fillId="0" borderId="0" xfId="0" applyAlignment="1">
      <alignment horizontal="center" vertical="center"/>
    </xf>
    <xf numFmtId="0" fontId="3" fillId="0" borderId="0" xfId="0" applyFont="1" applyAlignment="1"/>
    <xf numFmtId="0" fontId="2" fillId="0" borderId="0" xfId="0" applyFont="1" applyAlignment="1">
      <alignment horizontal="left" vertical="center" wrapText="1"/>
    </xf>
    <xf numFmtId="0" fontId="4" fillId="3" borderId="0" xfId="0" applyFont="1" applyFill="1" applyAlignment="1">
      <alignment horizontal="center" vertical="center"/>
    </xf>
    <xf numFmtId="0" fontId="3" fillId="0" borderId="0" xfId="0" applyFont="1" applyAlignment="1">
      <alignment horizontal="center" vertical="center"/>
    </xf>
    <xf numFmtId="166" fontId="3" fillId="0" borderId="0" xfId="0" applyNumberFormat="1" applyFont="1" applyAlignment="1">
      <alignment horizontal="center" vertical="center"/>
    </xf>
    <xf numFmtId="0" fontId="4" fillId="3" borderId="0" xfId="0" applyFont="1" applyFill="1" applyAlignment="1">
      <alignment horizontal="center" vertical="top"/>
    </xf>
    <xf numFmtId="0" fontId="3" fillId="0" borderId="0" xfId="0" applyFont="1" applyAlignment="1">
      <alignment horizontal="center"/>
    </xf>
    <xf numFmtId="0" fontId="1" fillId="3" borderId="0" xfId="0" applyFont="1" applyFill="1" applyAlignment="1">
      <alignment horizontal="center" vertical="center" wrapText="1"/>
    </xf>
    <xf numFmtId="0" fontId="0" fillId="0" borderId="0" xfId="0" applyAlignment="1">
      <alignment horizontal="center" vertical="center" wrapText="1"/>
    </xf>
    <xf numFmtId="167" fontId="0" fillId="0" borderId="0" xfId="0" applyNumberFormat="1" applyAlignment="1">
      <alignment horizontal="center" vertical="center" wrapText="1"/>
    </xf>
    <xf numFmtId="14" fontId="0" fillId="3" borderId="0" xfId="0" applyNumberFormat="1" applyFill="1" applyAlignment="1">
      <alignment horizontal="center" vertical="center"/>
    </xf>
    <xf numFmtId="166" fontId="0" fillId="3" borderId="0" xfId="0" applyNumberFormat="1" applyFill="1" applyAlignment="1">
      <alignment horizontal="center" vertical="center"/>
    </xf>
    <xf numFmtId="14" fontId="0" fillId="0" borderId="0" xfId="0" applyNumberFormat="1" applyAlignment="1">
      <alignment horizontal="center" vertical="center"/>
    </xf>
    <xf numFmtId="0" fontId="0" fillId="3" borderId="0" xfId="0" applyFill="1">
      <alignment vertical="center"/>
    </xf>
    <xf numFmtId="0" fontId="0" fillId="0" borderId="0" xfId="0" applyAlignment="1">
      <alignment vertical="center" wrapText="1"/>
    </xf>
    <xf numFmtId="0" fontId="0" fillId="0" borderId="0" xfId="0" applyAlignment="1">
      <alignment horizontal="right" vertical="center" wrapText="1"/>
    </xf>
    <xf numFmtId="0" fontId="2" fillId="0" borderId="0" xfId="0" applyFont="1">
      <alignment vertical="center"/>
    </xf>
    <xf numFmtId="166" fontId="0" fillId="0" borderId="0" xfId="0" applyNumberFormat="1" applyAlignment="1">
      <alignment horizontal="center" vertical="center"/>
    </xf>
    <xf numFmtId="0" fontId="6" fillId="4" borderId="0" xfId="0" applyFont="1" applyFill="1">
      <alignment vertical="center"/>
    </xf>
    <xf numFmtId="0" fontId="0" fillId="2" borderId="0" xfId="0" applyFill="1">
      <alignment vertical="center"/>
    </xf>
    <xf numFmtId="0" fontId="0" fillId="3" borderId="1" xfId="0" applyFill="1" applyBorder="1">
      <alignment vertical="center"/>
    </xf>
    <xf numFmtId="14" fontId="0" fillId="0" borderId="1" xfId="0" applyNumberFormat="1" applyBorder="1">
      <alignment vertical="center"/>
    </xf>
    <xf numFmtId="22" fontId="0" fillId="0" borderId="1" xfId="0" applyNumberFormat="1" applyBorder="1">
      <alignment vertical="center"/>
    </xf>
    <xf numFmtId="0" fontId="0" fillId="3" borderId="1" xfId="0" applyFill="1"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horizontal="center" vertical="center"/>
    </xf>
    <xf numFmtId="168" fontId="0" fillId="0" borderId="1" xfId="0" applyNumberFormat="1" applyBorder="1" applyAlignment="1">
      <alignment horizontal="center" vertical="center"/>
    </xf>
    <xf numFmtId="0" fontId="1" fillId="3" borderId="0" xfId="0" applyFont="1" applyFill="1">
      <alignment vertical="center"/>
    </xf>
    <xf numFmtId="0" fontId="1" fillId="3" borderId="1" xfId="0" applyFont="1" applyFill="1" applyBorder="1">
      <alignment vertical="center"/>
    </xf>
    <xf numFmtId="0" fontId="0" fillId="0" borderId="1" xfId="0" applyBorder="1">
      <alignment vertical="center"/>
    </xf>
    <xf numFmtId="0" fontId="0" fillId="0" borderId="1" xfId="0" applyBorder="1" applyAlignment="1">
      <alignment vertical="center" wrapText="1"/>
    </xf>
    <xf numFmtId="0" fontId="1" fillId="0" borderId="0" xfId="0" applyFont="1">
      <alignment vertical="center"/>
    </xf>
    <xf numFmtId="0" fontId="1" fillId="5" borderId="1" xfId="0" applyFont="1" applyFill="1" applyBorder="1" applyAlignment="1">
      <alignment horizontal="center" vertical="center" wrapText="1"/>
    </xf>
    <xf numFmtId="0" fontId="1" fillId="0" borderId="0" xfId="0" applyFont="1" applyAlignment="1">
      <alignment horizontal="center" vertical="center" wrapText="1"/>
    </xf>
    <xf numFmtId="0" fontId="1" fillId="0" borderId="1" xfId="0" applyFont="1" applyBorder="1">
      <alignment vertical="center"/>
    </xf>
    <xf numFmtId="0" fontId="0" fillId="0" borderId="1" xfId="0" applyBorder="1" applyAlignment="1">
      <alignment horizontal="center" vertical="center" wrapText="1"/>
    </xf>
    <xf numFmtId="49" fontId="7" fillId="0" borderId="1" xfId="1" applyNumberFormat="1" applyFont="1" applyBorder="1">
      <alignment vertical="center"/>
    </xf>
    <xf numFmtId="0" fontId="7" fillId="0" borderId="1" xfId="1" applyFont="1" applyBorder="1" applyAlignment="1">
      <alignment horizontal="center" vertical="center"/>
    </xf>
    <xf numFmtId="0" fontId="0" fillId="5" borderId="1" xfId="0" applyFill="1" applyBorder="1">
      <alignment vertical="center"/>
    </xf>
    <xf numFmtId="3" fontId="0" fillId="0" borderId="0" xfId="0" applyNumberFormat="1" applyAlignment="1">
      <alignment horizontal="center" vertical="center"/>
    </xf>
    <xf numFmtId="10" fontId="0" fillId="0" borderId="0" xfId="0" applyNumberFormat="1" applyAlignment="1">
      <alignment horizontal="center" vertical="center"/>
    </xf>
    <xf numFmtId="0" fontId="0" fillId="6" borderId="0" xfId="0" applyFill="1" applyAlignment="1">
      <alignment horizontal="center" vertical="center"/>
    </xf>
    <xf numFmtId="0" fontId="1" fillId="3" borderId="0" xfId="0" applyFont="1" applyFill="1" applyAlignment="1">
      <alignment horizontal="center" vertical="center"/>
    </xf>
    <xf numFmtId="0" fontId="1" fillId="3" borderId="1" xfId="0" applyFont="1" applyFill="1" applyBorder="1" applyAlignment="1">
      <alignment horizontal="center" vertical="center"/>
    </xf>
    <xf numFmtId="0" fontId="1" fillId="3" borderId="0" xfId="0" applyFont="1" applyFill="1" applyAlignment="1">
      <alignment vertical="center" wrapText="1"/>
    </xf>
    <xf numFmtId="0" fontId="0" fillId="0" borderId="1" xfId="0" quotePrefix="1" applyBorder="1">
      <alignment vertical="center"/>
    </xf>
    <xf numFmtId="0" fontId="0" fillId="0" borderId="0" xfId="0" quotePrefix="1">
      <alignment vertical="center"/>
    </xf>
    <xf numFmtId="0" fontId="0" fillId="0" borderId="1" xfId="0" quotePrefix="1" applyBorder="1" applyAlignment="1">
      <alignment horizontal="center" vertical="center"/>
    </xf>
    <xf numFmtId="0" fontId="2" fillId="0" borderId="0" xfId="0" applyFont="1" applyAlignment="1">
      <alignment horizontal="left" vertical="center" wrapText="1"/>
    </xf>
    <xf numFmtId="0" fontId="2" fillId="0" borderId="0" xfId="0" applyFont="1" applyAlignment="1">
      <alignment horizontal="left" vertical="center"/>
    </xf>
    <xf numFmtId="0" fontId="0" fillId="2" borderId="0" xfId="0" applyFill="1" applyAlignment="1">
      <alignment horizontal="center" vertical="center"/>
    </xf>
    <xf numFmtId="0" fontId="5" fillId="0" borderId="0" xfId="0" applyFont="1" applyAlignment="1">
      <alignment horizontal="left" vertical="center" wrapText="1"/>
    </xf>
    <xf numFmtId="0" fontId="0" fillId="6" borderId="0" xfId="0" applyFill="1">
      <alignment vertical="center"/>
    </xf>
  </cellXfs>
  <cellStyles count="2">
    <cellStyle name="Hyperlink" xfId="1" builtinId="8"/>
    <cellStyle name="Normal" xfId="0" builtinId="0"/>
  </cellStyles>
  <dxfs count="20">
    <dxf>
      <fill>
        <patternFill patternType="solid">
          <bgColor theme="5" tint="0.59999389629810485"/>
        </patternFill>
      </fill>
    </dxf>
    <dxf>
      <fill>
        <patternFill patternType="solid">
          <bgColor theme="4" tint="0.59999389629810485"/>
        </patternFill>
      </fill>
    </dxf>
    <dxf>
      <font>
        <color rgb="FF9C6500"/>
      </font>
      <fill>
        <patternFill patternType="solid">
          <bgColor rgb="FFFFEB9C"/>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9"/>
      <tableStyleElement type="headerRow" dxfId="18"/>
      <tableStyleElement type="totalRow" dxfId="17"/>
      <tableStyleElement type="firstColumn" dxfId="16"/>
      <tableStyleElement type="lastColumn" dxfId="15"/>
      <tableStyleElement type="firstRowStripe" dxfId="14"/>
      <tableStyleElement type="firstColumnStripe" dxfId="13"/>
    </tableStyle>
    <tableStyle name="PivotStylePreset2_Accent1" table="0" count="10" xr9:uid="{267968C8-6FFD-4C36-ACC1-9EA1FD1885CA}">
      <tableStyleElement type="headerRow" dxfId="12"/>
      <tableStyleElement type="totalRow" dxfId="11"/>
      <tableStyleElement type="firstRowStripe" dxfId="10"/>
      <tableStyleElement type="firstColumnStripe" dxfId="9"/>
      <tableStyleElement type="firstSubtotalRow" dxfId="8"/>
      <tableStyleElement type="secondSubtotalRow" dxfId="7"/>
      <tableStyleElement type="firstRowSubheading" dxfId="6"/>
      <tableStyleElement type="secondRowSubheading" dxfId="5"/>
      <tableStyleElement type="pageFieldLabels" dxfId="4"/>
      <tableStyleElement type="pageFieldValues"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mailto:sachin08@gmail.com" TargetMode="External"/><Relationship Id="rId2" Type="http://schemas.openxmlformats.org/officeDocument/2006/relationships/hyperlink" Target="mailto:dhoni118@gmail.com" TargetMode="External"/><Relationship Id="rId1" Type="http://schemas.openxmlformats.org/officeDocument/2006/relationships/hyperlink" Target="mailto:virat18@gmail.com" TargetMode="External"/><Relationship Id="rId4" Type="http://schemas.openxmlformats.org/officeDocument/2006/relationships/hyperlink" Target="mailto:dhoni118@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Q63"/>
  <sheetViews>
    <sheetView tabSelected="1" topLeftCell="A19" workbookViewId="0">
      <selection activeCell="B30" sqref="B30"/>
    </sheetView>
  </sheetViews>
  <sheetFormatPr defaultColWidth="9.140625" defaultRowHeight="14.3"/>
  <cols>
    <col min="3" max="3" width="16.85546875" customWidth="1"/>
    <col min="4" max="4" width="18" customWidth="1"/>
    <col min="6" max="6" width="18.5703125" customWidth="1"/>
    <col min="9" max="9" width="11.5703125" bestFit="1" customWidth="1"/>
  </cols>
  <sheetData>
    <row r="2" spans="1:17" ht="29.05" customHeight="1">
      <c r="A2" s="1" t="s">
        <v>0</v>
      </c>
      <c r="B2" s="53" t="s">
        <v>1</v>
      </c>
      <c r="C2" s="54"/>
      <c r="D2" s="54"/>
      <c r="E2" s="54"/>
      <c r="F2" s="54"/>
      <c r="G2" s="54"/>
      <c r="H2" s="54"/>
      <c r="I2" s="54"/>
      <c r="J2" s="54"/>
      <c r="K2" s="54"/>
      <c r="L2" s="54"/>
      <c r="M2" s="54"/>
      <c r="N2" s="54"/>
      <c r="O2" s="54"/>
      <c r="P2" s="54"/>
      <c r="Q2" s="54"/>
    </row>
    <row r="3" spans="1:17">
      <c r="B3" s="6"/>
      <c r="C3" s="2"/>
      <c r="D3" s="2"/>
      <c r="E3" s="2"/>
      <c r="F3" s="2"/>
      <c r="G3" s="2"/>
      <c r="H3" s="2"/>
      <c r="I3" s="2"/>
      <c r="J3" s="2"/>
      <c r="K3" s="2"/>
      <c r="L3" s="2"/>
      <c r="M3" s="2"/>
      <c r="N3" s="2"/>
      <c r="O3" s="2"/>
      <c r="P3" s="2"/>
      <c r="Q3" s="2"/>
    </row>
    <row r="4" spans="1:17">
      <c r="D4" s="46">
        <v>5</v>
      </c>
    </row>
    <row r="5" spans="1:17">
      <c r="C5" s="32" t="s">
        <v>2</v>
      </c>
      <c r="D5" s="32" t="s">
        <v>3</v>
      </c>
      <c r="F5" s="32" t="s">
        <v>4</v>
      </c>
    </row>
    <row r="6" spans="1:17">
      <c r="C6" t="s">
        <v>5</v>
      </c>
      <c r="D6">
        <v>4.3</v>
      </c>
      <c r="F6">
        <f>D6/$D$4*100</f>
        <v>86</v>
      </c>
    </row>
    <row r="7" spans="1:17">
      <c r="C7" t="s">
        <v>6</v>
      </c>
      <c r="D7">
        <v>3.5</v>
      </c>
      <c r="F7">
        <f>D7/$D$4*100</f>
        <v>70</v>
      </c>
    </row>
    <row r="8" spans="1:17">
      <c r="C8" t="s">
        <v>7</v>
      </c>
      <c r="D8">
        <v>2.5</v>
      </c>
      <c r="F8">
        <f>D8/$D$4*100</f>
        <v>50</v>
      </c>
    </row>
    <row r="9" spans="1:17">
      <c r="C9" t="s">
        <v>8</v>
      </c>
      <c r="D9">
        <v>5</v>
      </c>
      <c r="F9">
        <f>D9/$D$4*100</f>
        <v>100</v>
      </c>
    </row>
    <row r="10" spans="1:17">
      <c r="C10" t="s">
        <v>387</v>
      </c>
      <c r="D10">
        <v>1.5</v>
      </c>
      <c r="F10">
        <f>D10/$D$4*100</f>
        <v>30</v>
      </c>
    </row>
    <row r="14" spans="1:17" ht="42.95" customHeight="1">
      <c r="A14" s="1" t="s">
        <v>9</v>
      </c>
      <c r="B14" s="53" t="s">
        <v>10</v>
      </c>
      <c r="C14" s="54"/>
      <c r="D14" s="54"/>
      <c r="E14" s="54"/>
      <c r="F14" s="54"/>
      <c r="G14" s="54"/>
      <c r="H14" s="54"/>
      <c r="I14" s="54"/>
      <c r="J14" s="54"/>
      <c r="K14" s="54"/>
      <c r="L14" s="54"/>
      <c r="M14" s="54"/>
      <c r="N14" s="54"/>
      <c r="O14" s="54"/>
      <c r="P14" s="54"/>
      <c r="Q14" s="54"/>
    </row>
    <row r="17" spans="1:17">
      <c r="B17" s="47" t="s">
        <v>11</v>
      </c>
      <c r="C17" s="47" t="s">
        <v>12</v>
      </c>
      <c r="D17" s="47" t="s">
        <v>13</v>
      </c>
      <c r="F17" s="48" t="s">
        <v>14</v>
      </c>
      <c r="G17" s="48">
        <v>2</v>
      </c>
      <c r="I17" s="57" t="s">
        <v>150</v>
      </c>
    </row>
    <row r="18" spans="1:17">
      <c r="B18" s="4">
        <v>1</v>
      </c>
      <c r="C18" s="4" t="s">
        <v>15</v>
      </c>
      <c r="D18" s="4">
        <v>10</v>
      </c>
      <c r="F18" s="4">
        <f t="shared" ref="F18:F23" si="0">D18*$G$17</f>
        <v>20</v>
      </c>
      <c r="I18" s="51" t="s">
        <v>388</v>
      </c>
    </row>
    <row r="19" spans="1:17">
      <c r="B19" s="4">
        <v>2</v>
      </c>
      <c r="C19" s="4" t="s">
        <v>16</v>
      </c>
      <c r="D19" s="4">
        <v>6</v>
      </c>
      <c r="F19" s="4">
        <f t="shared" si="0"/>
        <v>12</v>
      </c>
    </row>
    <row r="20" spans="1:17">
      <c r="B20" s="4">
        <v>3</v>
      </c>
      <c r="C20" s="4" t="s">
        <v>17</v>
      </c>
      <c r="D20" s="4">
        <v>8</v>
      </c>
      <c r="F20" s="4">
        <f t="shared" si="0"/>
        <v>16</v>
      </c>
    </row>
    <row r="21" spans="1:17">
      <c r="B21" s="4">
        <v>4</v>
      </c>
      <c r="C21" s="4" t="s">
        <v>18</v>
      </c>
      <c r="D21" s="4">
        <v>5</v>
      </c>
      <c r="F21" s="4">
        <f t="shared" si="0"/>
        <v>10</v>
      </c>
    </row>
    <row r="22" spans="1:17">
      <c r="B22" s="4">
        <v>5</v>
      </c>
      <c r="C22" s="4" t="s">
        <v>19</v>
      </c>
      <c r="D22" s="4">
        <v>3</v>
      </c>
      <c r="F22" s="4">
        <f t="shared" si="0"/>
        <v>6</v>
      </c>
    </row>
    <row r="23" spans="1:17">
      <c r="B23" s="4">
        <v>6</v>
      </c>
      <c r="C23" s="4" t="s">
        <v>20</v>
      </c>
      <c r="D23" s="4">
        <v>1</v>
      </c>
      <c r="F23" s="4">
        <f t="shared" si="0"/>
        <v>2</v>
      </c>
    </row>
    <row r="24" spans="1:17">
      <c r="B24" s="4"/>
      <c r="C24" s="4"/>
      <c r="D24" s="4"/>
    </row>
    <row r="27" spans="1:17">
      <c r="A27" s="24" t="s">
        <v>21</v>
      </c>
      <c r="B27" s="54" t="s">
        <v>22</v>
      </c>
      <c r="C27" s="54"/>
      <c r="D27" s="54"/>
      <c r="E27" s="54"/>
      <c r="F27" s="54"/>
      <c r="G27" s="54"/>
      <c r="H27" s="54"/>
      <c r="I27" s="54"/>
      <c r="J27" s="54"/>
      <c r="K27" s="54"/>
      <c r="L27" s="54"/>
      <c r="M27" s="54"/>
      <c r="N27" s="54"/>
      <c r="O27" s="54"/>
      <c r="P27" s="54"/>
      <c r="Q27" s="54"/>
    </row>
    <row r="29" spans="1:17">
      <c r="B29" s="47" t="s">
        <v>11</v>
      </c>
      <c r="C29" s="49" t="s">
        <v>23</v>
      </c>
    </row>
    <row r="30" spans="1:17">
      <c r="B30" s="4">
        <v>1</v>
      </c>
      <c r="C30" s="19" t="s">
        <v>24</v>
      </c>
    </row>
    <row r="31" spans="1:17">
      <c r="B31" s="4">
        <v>2</v>
      </c>
      <c r="C31" s="19" t="s">
        <v>25</v>
      </c>
    </row>
    <row r="32" spans="1:17">
      <c r="B32" s="4">
        <v>3</v>
      </c>
      <c r="C32" s="19" t="s">
        <v>26</v>
      </c>
    </row>
    <row r="33" spans="1:3">
      <c r="B33" s="4">
        <v>4</v>
      </c>
      <c r="C33" s="19" t="s">
        <v>27</v>
      </c>
    </row>
    <row r="34" spans="1:3">
      <c r="B34" s="4">
        <v>5</v>
      </c>
      <c r="C34" s="19" t="s">
        <v>28</v>
      </c>
    </row>
    <row r="35" spans="1:3">
      <c r="B35" s="4">
        <v>6</v>
      </c>
      <c r="C35" s="19" t="s">
        <v>389</v>
      </c>
    </row>
    <row r="36" spans="1:3">
      <c r="B36" s="4">
        <v>7</v>
      </c>
      <c r="C36" s="19" t="s">
        <v>390</v>
      </c>
    </row>
    <row r="39" spans="1:3">
      <c r="A39" s="24" t="s">
        <v>29</v>
      </c>
      <c r="B39" s="21" t="s">
        <v>30</v>
      </c>
    </row>
    <row r="54" spans="1:17" ht="16.95" customHeight="1">
      <c r="A54" s="55" t="s">
        <v>31</v>
      </c>
      <c r="B54" s="53" t="s">
        <v>32</v>
      </c>
      <c r="C54" s="54"/>
      <c r="D54" s="54"/>
      <c r="E54" s="54"/>
      <c r="F54" s="54"/>
      <c r="G54" s="54"/>
      <c r="H54" s="54"/>
      <c r="I54" s="54"/>
      <c r="J54" s="54"/>
      <c r="K54" s="54"/>
      <c r="L54" s="54"/>
      <c r="M54" s="54"/>
      <c r="N54" s="54"/>
      <c r="O54" s="54"/>
      <c r="P54" s="54"/>
      <c r="Q54" s="54"/>
    </row>
    <row r="55" spans="1:17" ht="21.05" customHeight="1">
      <c r="A55" s="55"/>
      <c r="B55" s="54"/>
      <c r="C55" s="54"/>
      <c r="D55" s="54"/>
      <c r="E55" s="54"/>
      <c r="F55" s="54"/>
      <c r="G55" s="54"/>
      <c r="H55" s="54"/>
      <c r="I55" s="54"/>
      <c r="J55" s="54"/>
      <c r="K55" s="54"/>
      <c r="L55" s="54"/>
      <c r="M55" s="54"/>
      <c r="N55" s="54"/>
      <c r="O55" s="54"/>
      <c r="P55" s="54"/>
      <c r="Q55" s="54"/>
    </row>
    <row r="58" spans="1:17">
      <c r="B58" s="47" t="s">
        <v>11</v>
      </c>
      <c r="C58" s="12" t="s">
        <v>33</v>
      </c>
    </row>
    <row r="59" spans="1:17">
      <c r="B59" s="4">
        <v>1</v>
      </c>
      <c r="C59" s="4" t="s">
        <v>34</v>
      </c>
    </row>
    <row r="60" spans="1:17">
      <c r="B60" s="4">
        <v>2</v>
      </c>
      <c r="C60" s="4" t="s">
        <v>35</v>
      </c>
    </row>
    <row r="61" spans="1:17">
      <c r="B61" s="4">
        <v>3</v>
      </c>
      <c r="C61" s="4" t="s">
        <v>36</v>
      </c>
    </row>
    <row r="62" spans="1:17">
      <c r="B62" s="4">
        <v>4</v>
      </c>
      <c r="C62" s="4" t="s">
        <v>37</v>
      </c>
    </row>
    <row r="63" spans="1:17">
      <c r="B63" s="4">
        <v>5</v>
      </c>
      <c r="C63" s="4" t="s">
        <v>38</v>
      </c>
    </row>
  </sheetData>
  <mergeCells count="5">
    <mergeCell ref="B2:Q2"/>
    <mergeCell ref="B14:Q14"/>
    <mergeCell ref="B27:Q27"/>
    <mergeCell ref="A54:A55"/>
    <mergeCell ref="B54:Q5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Q86"/>
  <sheetViews>
    <sheetView workbookViewId="0">
      <selection activeCell="E76" sqref="E76:E85"/>
    </sheetView>
  </sheetViews>
  <sheetFormatPr defaultColWidth="9.140625" defaultRowHeight="14.3"/>
  <cols>
    <col min="2" max="2" width="14.42578125" customWidth="1"/>
    <col min="3" max="3" width="24.42578125" customWidth="1"/>
    <col min="4" max="4" width="13.85546875" customWidth="1"/>
    <col min="5" max="5" width="17.85546875" customWidth="1"/>
    <col min="6" max="6" width="10.42578125" customWidth="1"/>
    <col min="7" max="7" width="12.140625" customWidth="1"/>
    <col min="8" max="8" width="17.85546875" customWidth="1"/>
    <col min="9" max="9" width="10.42578125" customWidth="1"/>
    <col min="10" max="10" width="9" customWidth="1"/>
    <col min="11" max="11" width="17.85546875" customWidth="1"/>
    <col min="12" max="12" width="16.85546875" customWidth="1"/>
    <col min="13" max="13" width="12.5703125" customWidth="1"/>
    <col min="15" max="15" width="10.42578125" customWidth="1"/>
  </cols>
  <sheetData>
    <row r="2" spans="1:13">
      <c r="A2" s="1" t="s">
        <v>0</v>
      </c>
      <c r="B2" s="21" t="s">
        <v>39</v>
      </c>
    </row>
    <row r="5" spans="1:13">
      <c r="B5" s="3" t="s">
        <v>40</v>
      </c>
      <c r="C5" s="3" t="s">
        <v>41</v>
      </c>
      <c r="D5" s="3" t="s">
        <v>42</v>
      </c>
      <c r="E5" s="3" t="s">
        <v>43</v>
      </c>
      <c r="G5" s="3" t="s">
        <v>42</v>
      </c>
      <c r="H5" s="3" t="s">
        <v>43</v>
      </c>
      <c r="J5" s="3" t="s">
        <v>40</v>
      </c>
      <c r="K5" s="3" t="s">
        <v>41</v>
      </c>
      <c r="L5" s="3" t="s">
        <v>42</v>
      </c>
      <c r="M5" s="3" t="s">
        <v>43</v>
      </c>
    </row>
    <row r="6" spans="1:13">
      <c r="B6" s="4">
        <v>1</v>
      </c>
      <c r="C6" s="4" t="s">
        <v>44</v>
      </c>
      <c r="D6" s="4">
        <v>500</v>
      </c>
      <c r="E6" s="4" t="s">
        <v>45</v>
      </c>
      <c r="G6" t="s">
        <v>46</v>
      </c>
      <c r="H6" t="s">
        <v>45</v>
      </c>
      <c r="J6" s="4">
        <v>5</v>
      </c>
      <c r="K6" s="4" t="s">
        <v>47</v>
      </c>
      <c r="L6" s="4">
        <v>1250</v>
      </c>
      <c r="M6" s="4" t="s">
        <v>45</v>
      </c>
    </row>
    <row r="7" spans="1:13">
      <c r="B7" s="4">
        <v>2</v>
      </c>
      <c r="C7" s="4" t="s">
        <v>48</v>
      </c>
      <c r="D7" s="4">
        <v>640</v>
      </c>
      <c r="E7" s="4" t="s">
        <v>49</v>
      </c>
      <c r="J7" s="4">
        <v>13</v>
      </c>
      <c r="K7" s="4" t="s">
        <v>50</v>
      </c>
      <c r="L7" s="4">
        <v>999</v>
      </c>
      <c r="M7" s="4" t="s">
        <v>45</v>
      </c>
    </row>
    <row r="8" spans="1:13">
      <c r="B8" s="4">
        <v>3</v>
      </c>
      <c r="C8" s="4" t="s">
        <v>51</v>
      </c>
      <c r="D8" s="4">
        <v>890</v>
      </c>
      <c r="E8" s="4" t="s">
        <v>52</v>
      </c>
    </row>
    <row r="9" spans="1:13">
      <c r="B9" s="4">
        <v>4</v>
      </c>
      <c r="C9" s="4" t="s">
        <v>53</v>
      </c>
      <c r="D9" s="4">
        <v>1000</v>
      </c>
      <c r="E9" s="4" t="s">
        <v>54</v>
      </c>
    </row>
    <row r="10" spans="1:13">
      <c r="B10" s="4">
        <v>5</v>
      </c>
      <c r="C10" s="4" t="s">
        <v>47</v>
      </c>
      <c r="D10" s="4">
        <v>1250</v>
      </c>
      <c r="E10" s="4" t="s">
        <v>45</v>
      </c>
    </row>
    <row r="11" spans="1:13">
      <c r="B11" s="4">
        <v>6</v>
      </c>
      <c r="C11" s="4" t="s">
        <v>50</v>
      </c>
      <c r="D11" s="4">
        <v>1140</v>
      </c>
      <c r="E11" s="4" t="s">
        <v>49</v>
      </c>
    </row>
    <row r="12" spans="1:13">
      <c r="B12" s="4">
        <v>7</v>
      </c>
      <c r="C12" s="4" t="s">
        <v>55</v>
      </c>
      <c r="D12" s="4">
        <v>500</v>
      </c>
      <c r="E12" s="4" t="s">
        <v>52</v>
      </c>
    </row>
    <row r="13" spans="1:13">
      <c r="B13" s="4">
        <v>8</v>
      </c>
      <c r="C13" s="4" t="s">
        <v>44</v>
      </c>
      <c r="D13" s="4">
        <v>480</v>
      </c>
      <c r="E13" s="4" t="s">
        <v>54</v>
      </c>
    </row>
    <row r="14" spans="1:13">
      <c r="B14" s="4">
        <v>9</v>
      </c>
      <c r="C14" s="4" t="s">
        <v>48</v>
      </c>
      <c r="D14" s="4">
        <v>590</v>
      </c>
      <c r="E14" s="4" t="s">
        <v>45</v>
      </c>
    </row>
    <row r="15" spans="1:13">
      <c r="B15" s="4">
        <v>10</v>
      </c>
      <c r="C15" s="4" t="s">
        <v>51</v>
      </c>
      <c r="D15" s="4">
        <v>650</v>
      </c>
      <c r="E15" s="4" t="s">
        <v>49</v>
      </c>
    </row>
    <row r="16" spans="1:13">
      <c r="B16" s="4">
        <v>11</v>
      </c>
      <c r="C16" s="4" t="s">
        <v>53</v>
      </c>
      <c r="D16" s="4">
        <v>800</v>
      </c>
      <c r="E16" s="4" t="s">
        <v>52</v>
      </c>
    </row>
    <row r="17" spans="1:17">
      <c r="B17" s="4">
        <v>12</v>
      </c>
      <c r="C17" s="4" t="s">
        <v>47</v>
      </c>
      <c r="D17" s="4">
        <v>950</v>
      </c>
      <c r="E17" s="4" t="s">
        <v>54</v>
      </c>
    </row>
    <row r="18" spans="1:17">
      <c r="B18" s="4">
        <v>13</v>
      </c>
      <c r="C18" s="4" t="s">
        <v>50</v>
      </c>
      <c r="D18" s="4">
        <v>999</v>
      </c>
      <c r="E18" s="4" t="s">
        <v>45</v>
      </c>
    </row>
    <row r="19" spans="1:17">
      <c r="B19" s="4">
        <v>14</v>
      </c>
      <c r="C19" s="4" t="s">
        <v>55</v>
      </c>
      <c r="D19" s="4">
        <v>450</v>
      </c>
      <c r="E19" s="4" t="s">
        <v>49</v>
      </c>
    </row>
    <row r="20" spans="1:17">
      <c r="B20" s="4">
        <v>15</v>
      </c>
      <c r="C20" s="4" t="s">
        <v>44</v>
      </c>
      <c r="D20" s="4">
        <v>600</v>
      </c>
      <c r="E20" s="4" t="s">
        <v>52</v>
      </c>
    </row>
    <row r="24" spans="1:17" ht="29.05" customHeight="1">
      <c r="A24" s="1" t="s">
        <v>9</v>
      </c>
      <c r="B24" s="53" t="s">
        <v>56</v>
      </c>
      <c r="C24" s="53"/>
      <c r="D24" s="53"/>
      <c r="E24" s="53"/>
      <c r="F24" s="53"/>
      <c r="G24" s="53"/>
      <c r="H24" s="53"/>
      <c r="I24" s="53"/>
      <c r="J24" s="53"/>
      <c r="K24" s="53"/>
      <c r="L24" s="53"/>
      <c r="M24" s="53"/>
      <c r="N24" s="53"/>
      <c r="O24" s="53"/>
      <c r="P24" s="53"/>
      <c r="Q24" s="53"/>
    </row>
    <row r="26" spans="1:17">
      <c r="B26" s="3" t="s">
        <v>57</v>
      </c>
      <c r="C26" s="3" t="s">
        <v>58</v>
      </c>
      <c r="D26" s="3" t="s">
        <v>59</v>
      </c>
      <c r="E26" s="3" t="s">
        <v>60</v>
      </c>
      <c r="F26" s="3" t="s">
        <v>61</v>
      </c>
      <c r="H26" s="3" t="s">
        <v>60</v>
      </c>
      <c r="I26" s="3" t="s">
        <v>61</v>
      </c>
      <c r="K26" s="3" t="s">
        <v>57</v>
      </c>
      <c r="L26" s="3" t="s">
        <v>58</v>
      </c>
      <c r="M26" s="3" t="s">
        <v>59</v>
      </c>
      <c r="N26" s="3" t="s">
        <v>60</v>
      </c>
      <c r="O26" s="3" t="s">
        <v>61</v>
      </c>
    </row>
    <row r="27" spans="1:17">
      <c r="B27" s="4">
        <v>1</v>
      </c>
      <c r="C27" s="4" t="s">
        <v>62</v>
      </c>
      <c r="D27" s="4">
        <v>150</v>
      </c>
      <c r="E27" s="4" t="s">
        <v>63</v>
      </c>
      <c r="F27" s="4" t="s">
        <v>64</v>
      </c>
      <c r="H27" s="4" t="s">
        <v>63</v>
      </c>
      <c r="I27" s="4" t="s">
        <v>64</v>
      </c>
      <c r="K27" s="4">
        <v>1</v>
      </c>
      <c r="L27" s="4" t="s">
        <v>62</v>
      </c>
      <c r="M27" s="4">
        <v>150</v>
      </c>
      <c r="N27" s="4" t="s">
        <v>63</v>
      </c>
      <c r="O27" s="4" t="s">
        <v>64</v>
      </c>
    </row>
    <row r="28" spans="1:17">
      <c r="B28" s="4">
        <v>2</v>
      </c>
      <c r="C28" s="4" t="s">
        <v>65</v>
      </c>
      <c r="D28" s="4">
        <v>350</v>
      </c>
      <c r="E28" s="4" t="s">
        <v>66</v>
      </c>
      <c r="F28" s="4" t="s">
        <v>64</v>
      </c>
      <c r="K28" s="4">
        <v>7</v>
      </c>
      <c r="L28" s="4" t="s">
        <v>67</v>
      </c>
      <c r="M28" s="4">
        <v>25999</v>
      </c>
      <c r="N28" s="4" t="s">
        <v>63</v>
      </c>
      <c r="O28" s="4" t="s">
        <v>64</v>
      </c>
    </row>
    <row r="29" spans="1:17">
      <c r="B29" s="4">
        <v>3</v>
      </c>
      <c r="C29" s="4" t="s">
        <v>68</v>
      </c>
      <c r="D29" s="4">
        <v>1999</v>
      </c>
      <c r="E29" s="4" t="s">
        <v>69</v>
      </c>
      <c r="F29" s="4" t="s">
        <v>70</v>
      </c>
      <c r="K29" s="4">
        <v>12</v>
      </c>
      <c r="L29" s="4" t="s">
        <v>65</v>
      </c>
      <c r="M29" s="4">
        <v>350</v>
      </c>
      <c r="N29" s="4" t="s">
        <v>63</v>
      </c>
      <c r="O29" s="4" t="s">
        <v>64</v>
      </c>
    </row>
    <row r="30" spans="1:17">
      <c r="B30" s="4">
        <v>4</v>
      </c>
      <c r="C30" s="4" t="s">
        <v>71</v>
      </c>
      <c r="D30" s="4">
        <v>53000</v>
      </c>
      <c r="E30" s="4" t="s">
        <v>69</v>
      </c>
      <c r="F30" s="4" t="s">
        <v>64</v>
      </c>
      <c r="K30" s="4">
        <v>14</v>
      </c>
      <c r="L30" s="4" t="s">
        <v>72</v>
      </c>
      <c r="M30" s="4">
        <v>25000</v>
      </c>
      <c r="N30" s="4" t="s">
        <v>63</v>
      </c>
      <c r="O30" s="4" t="s">
        <v>64</v>
      </c>
    </row>
    <row r="31" spans="1:17">
      <c r="B31" s="4">
        <v>5</v>
      </c>
      <c r="C31" s="4" t="s">
        <v>73</v>
      </c>
      <c r="D31" s="4">
        <v>65000</v>
      </c>
      <c r="E31" s="4" t="s">
        <v>69</v>
      </c>
      <c r="F31" s="4" t="s">
        <v>64</v>
      </c>
      <c r="K31" s="4">
        <v>17</v>
      </c>
      <c r="L31" s="4" t="s">
        <v>74</v>
      </c>
      <c r="M31" s="4">
        <v>35000</v>
      </c>
      <c r="N31" s="4" t="s">
        <v>63</v>
      </c>
      <c r="O31" s="4" t="s">
        <v>64</v>
      </c>
    </row>
    <row r="32" spans="1:17">
      <c r="B32" s="4">
        <v>6</v>
      </c>
      <c r="C32" s="4" t="s">
        <v>72</v>
      </c>
      <c r="D32" s="4">
        <v>25000</v>
      </c>
      <c r="E32" s="4" t="s">
        <v>63</v>
      </c>
      <c r="F32" s="4" t="s">
        <v>70</v>
      </c>
      <c r="K32" s="4">
        <v>19</v>
      </c>
      <c r="L32" s="4" t="s">
        <v>62</v>
      </c>
      <c r="M32" s="4">
        <v>150</v>
      </c>
      <c r="N32" s="4" t="s">
        <v>63</v>
      </c>
      <c r="O32" s="4" t="s">
        <v>64</v>
      </c>
    </row>
    <row r="33" spans="2:6">
      <c r="B33" s="4">
        <v>7</v>
      </c>
      <c r="C33" s="4" t="s">
        <v>67</v>
      </c>
      <c r="D33" s="4">
        <v>25999</v>
      </c>
      <c r="E33" s="4" t="s">
        <v>63</v>
      </c>
      <c r="F33" s="4" t="s">
        <v>64</v>
      </c>
    </row>
    <row r="34" spans="2:6">
      <c r="B34" s="4">
        <v>8</v>
      </c>
      <c r="C34" s="4" t="s">
        <v>75</v>
      </c>
      <c r="D34" s="4">
        <v>5000</v>
      </c>
      <c r="E34" s="4" t="s">
        <v>63</v>
      </c>
      <c r="F34" s="4" t="s">
        <v>70</v>
      </c>
    </row>
    <row r="35" spans="2:6">
      <c r="B35" s="4">
        <v>9</v>
      </c>
      <c r="C35" s="4" t="s">
        <v>74</v>
      </c>
      <c r="D35" s="4">
        <v>35000</v>
      </c>
      <c r="E35" s="4" t="s">
        <v>69</v>
      </c>
      <c r="F35" s="4" t="s">
        <v>64</v>
      </c>
    </row>
    <row r="36" spans="2:6">
      <c r="B36" s="4">
        <v>10</v>
      </c>
      <c r="C36" s="4" t="s">
        <v>76</v>
      </c>
      <c r="D36" s="4">
        <v>6000</v>
      </c>
      <c r="E36" s="4" t="s">
        <v>66</v>
      </c>
      <c r="F36" s="4" t="s">
        <v>64</v>
      </c>
    </row>
    <row r="37" spans="2:6">
      <c r="B37" s="4">
        <v>11</v>
      </c>
      <c r="C37" s="4" t="s">
        <v>62</v>
      </c>
      <c r="D37" s="4">
        <v>150</v>
      </c>
      <c r="E37" s="4" t="s">
        <v>63</v>
      </c>
      <c r="F37" s="4" t="s">
        <v>70</v>
      </c>
    </row>
    <row r="38" spans="2:6">
      <c r="B38" s="4">
        <v>12</v>
      </c>
      <c r="C38" s="4" t="s">
        <v>65</v>
      </c>
      <c r="D38" s="4">
        <v>350</v>
      </c>
      <c r="E38" s="4" t="s">
        <v>63</v>
      </c>
      <c r="F38" s="4" t="s">
        <v>64</v>
      </c>
    </row>
    <row r="39" spans="2:6">
      <c r="B39" s="4">
        <v>13</v>
      </c>
      <c r="C39" s="4" t="s">
        <v>68</v>
      </c>
      <c r="D39" s="4">
        <v>1999</v>
      </c>
      <c r="E39" s="4" t="s">
        <v>63</v>
      </c>
      <c r="F39" s="4" t="s">
        <v>70</v>
      </c>
    </row>
    <row r="40" spans="2:6">
      <c r="B40" s="4">
        <v>14</v>
      </c>
      <c r="C40" s="4" t="s">
        <v>72</v>
      </c>
      <c r="D40" s="4">
        <v>25000</v>
      </c>
      <c r="E40" s="4" t="s">
        <v>63</v>
      </c>
      <c r="F40" s="4" t="s">
        <v>64</v>
      </c>
    </row>
    <row r="41" spans="2:6">
      <c r="B41" s="4">
        <v>15</v>
      </c>
      <c r="C41" s="4" t="s">
        <v>67</v>
      </c>
      <c r="D41" s="4">
        <v>25999</v>
      </c>
      <c r="E41" s="4" t="s">
        <v>66</v>
      </c>
      <c r="F41" s="4" t="s">
        <v>64</v>
      </c>
    </row>
    <row r="42" spans="2:6">
      <c r="B42" s="4">
        <v>16</v>
      </c>
      <c r="C42" s="4" t="s">
        <v>75</v>
      </c>
      <c r="D42" s="4">
        <v>5000</v>
      </c>
      <c r="E42" s="4" t="s">
        <v>63</v>
      </c>
      <c r="F42" s="4" t="s">
        <v>70</v>
      </c>
    </row>
    <row r="43" spans="2:6">
      <c r="B43" s="4">
        <v>17</v>
      </c>
      <c r="C43" s="4" t="s">
        <v>74</v>
      </c>
      <c r="D43" s="4">
        <v>35000</v>
      </c>
      <c r="E43" s="4" t="s">
        <v>63</v>
      </c>
      <c r="F43" s="4" t="s">
        <v>64</v>
      </c>
    </row>
    <row r="44" spans="2:6">
      <c r="B44" s="4">
        <v>18</v>
      </c>
      <c r="C44" s="4" t="s">
        <v>76</v>
      </c>
      <c r="D44" s="4">
        <v>6000</v>
      </c>
      <c r="E44" s="4" t="s">
        <v>66</v>
      </c>
      <c r="F44" s="4" t="s">
        <v>70</v>
      </c>
    </row>
    <row r="45" spans="2:6">
      <c r="B45" s="4">
        <v>19</v>
      </c>
      <c r="C45" s="4" t="s">
        <v>62</v>
      </c>
      <c r="D45" s="4">
        <v>150</v>
      </c>
      <c r="E45" s="4" t="s">
        <v>63</v>
      </c>
      <c r="F45" s="4" t="s">
        <v>64</v>
      </c>
    </row>
    <row r="46" spans="2:6">
      <c r="B46" s="4">
        <v>20</v>
      </c>
      <c r="C46" s="4" t="s">
        <v>65</v>
      </c>
      <c r="D46" s="4">
        <v>350</v>
      </c>
      <c r="E46" s="4" t="s">
        <v>66</v>
      </c>
      <c r="F46" s="4" t="s">
        <v>64</v>
      </c>
    </row>
    <row r="51" spans="1:5">
      <c r="A51" s="1" t="s">
        <v>21</v>
      </c>
      <c r="B51" s="21" t="s">
        <v>77</v>
      </c>
    </row>
    <row r="53" spans="1:5">
      <c r="B53" s="3" t="s">
        <v>78</v>
      </c>
      <c r="C53" s="3" t="s">
        <v>79</v>
      </c>
      <c r="D53" s="3" t="s">
        <v>80</v>
      </c>
      <c r="E53" s="3" t="s">
        <v>81</v>
      </c>
    </row>
    <row r="54" spans="1:5">
      <c r="B54" s="4">
        <v>1</v>
      </c>
      <c r="C54" t="s">
        <v>34</v>
      </c>
      <c r="D54">
        <v>3</v>
      </c>
      <c r="E54">
        <v>1200</v>
      </c>
    </row>
    <row r="55" spans="1:5">
      <c r="B55" s="4">
        <v>2</v>
      </c>
      <c r="C55" t="s">
        <v>35</v>
      </c>
      <c r="D55">
        <v>4</v>
      </c>
      <c r="E55">
        <v>1500</v>
      </c>
    </row>
    <row r="56" spans="1:5">
      <c r="B56" s="4">
        <v>3</v>
      </c>
      <c r="C56" t="s">
        <v>82</v>
      </c>
      <c r="D56">
        <v>2</v>
      </c>
      <c r="E56">
        <v>500</v>
      </c>
    </row>
    <row r="57" spans="1:5">
      <c r="B57" s="4">
        <v>4</v>
      </c>
      <c r="C57" t="s">
        <v>83</v>
      </c>
      <c r="D57">
        <v>5</v>
      </c>
      <c r="E57">
        <v>1600</v>
      </c>
    </row>
    <row r="58" spans="1:5">
      <c r="B58" s="4">
        <v>5</v>
      </c>
      <c r="C58" t="s">
        <v>84</v>
      </c>
      <c r="D58">
        <v>1</v>
      </c>
      <c r="E58">
        <v>180</v>
      </c>
    </row>
    <row r="59" spans="1:5">
      <c r="B59" s="4">
        <v>6</v>
      </c>
      <c r="C59" t="s">
        <v>85</v>
      </c>
      <c r="D59">
        <v>5</v>
      </c>
      <c r="E59">
        <v>1500</v>
      </c>
    </row>
    <row r="60" spans="1:5">
      <c r="B60" s="4">
        <v>7</v>
      </c>
      <c r="C60" t="s">
        <v>36</v>
      </c>
      <c r="D60">
        <v>6</v>
      </c>
      <c r="E60">
        <v>1200</v>
      </c>
    </row>
    <row r="61" spans="1:5">
      <c r="B61" s="4">
        <v>8</v>
      </c>
      <c r="C61" t="s">
        <v>86</v>
      </c>
      <c r="D61">
        <v>4</v>
      </c>
      <c r="E61">
        <v>1100</v>
      </c>
    </row>
    <row r="62" spans="1:5">
      <c r="B62" s="4">
        <v>9</v>
      </c>
      <c r="C62" t="s">
        <v>87</v>
      </c>
      <c r="D62">
        <v>6</v>
      </c>
      <c r="E62">
        <v>1500</v>
      </c>
    </row>
    <row r="63" spans="1:5">
      <c r="B63" s="4">
        <v>10</v>
      </c>
      <c r="C63" t="s">
        <v>88</v>
      </c>
      <c r="D63">
        <v>5</v>
      </c>
      <c r="E63">
        <v>1400</v>
      </c>
    </row>
    <row r="64" spans="1:5">
      <c r="B64" s="4">
        <v>11</v>
      </c>
      <c r="C64" t="s">
        <v>37</v>
      </c>
      <c r="D64">
        <v>1</v>
      </c>
      <c r="E64">
        <v>210</v>
      </c>
    </row>
    <row r="65" spans="1:16">
      <c r="B65" s="4">
        <v>12</v>
      </c>
      <c r="C65" t="s">
        <v>89</v>
      </c>
      <c r="D65">
        <v>5</v>
      </c>
      <c r="E65">
        <v>1400</v>
      </c>
    </row>
    <row r="72" spans="1:16" ht="42.1" customHeight="1">
      <c r="A72" s="1" t="s">
        <v>29</v>
      </c>
      <c r="B72" s="53" t="s">
        <v>90</v>
      </c>
      <c r="C72" s="53"/>
      <c r="D72" s="53"/>
      <c r="E72" s="53"/>
      <c r="F72" s="53"/>
      <c r="G72" s="53"/>
      <c r="H72" s="53"/>
      <c r="I72" s="53"/>
      <c r="J72" s="53"/>
      <c r="K72" s="53"/>
      <c r="L72" s="53"/>
      <c r="M72" s="53"/>
      <c r="N72" s="53"/>
      <c r="O72" s="53"/>
      <c r="P72" s="53"/>
    </row>
    <row r="75" spans="1:16">
      <c r="B75" s="3" t="s">
        <v>91</v>
      </c>
      <c r="C75" s="3" t="s">
        <v>92</v>
      </c>
      <c r="D75" s="3" t="s">
        <v>93</v>
      </c>
      <c r="E75" s="3" t="s">
        <v>94</v>
      </c>
      <c r="F75" s="3" t="s">
        <v>95</v>
      </c>
    </row>
    <row r="76" spans="1:16">
      <c r="B76" s="4" t="s">
        <v>96</v>
      </c>
      <c r="C76" s="4" t="s">
        <v>97</v>
      </c>
      <c r="D76" s="44">
        <v>125000</v>
      </c>
      <c r="E76" s="45">
        <v>6.8000000000000005E-2</v>
      </c>
      <c r="F76" s="4" t="s">
        <v>98</v>
      </c>
    </row>
    <row r="77" spans="1:16">
      <c r="B77" s="4" t="s">
        <v>99</v>
      </c>
      <c r="C77" s="4" t="s">
        <v>100</v>
      </c>
      <c r="D77" s="44">
        <v>245000</v>
      </c>
      <c r="E77" s="45">
        <v>4.2000000000000003E-2</v>
      </c>
      <c r="F77" s="4" t="s">
        <v>101</v>
      </c>
    </row>
    <row r="78" spans="1:16">
      <c r="B78" s="4" t="s">
        <v>102</v>
      </c>
      <c r="C78" s="4" t="s">
        <v>103</v>
      </c>
      <c r="D78" s="44">
        <v>98000</v>
      </c>
      <c r="E78" s="45">
        <v>7.4999999999999997E-2</v>
      </c>
      <c r="F78" s="4" t="s">
        <v>98</v>
      </c>
    </row>
    <row r="79" spans="1:16">
      <c r="B79" s="4" t="s">
        <v>104</v>
      </c>
      <c r="C79" s="4" t="s">
        <v>105</v>
      </c>
      <c r="D79" s="44">
        <v>310000</v>
      </c>
      <c r="E79" s="45">
        <v>3.9E-2</v>
      </c>
      <c r="F79" s="4" t="s">
        <v>101</v>
      </c>
    </row>
    <row r="80" spans="1:16">
      <c r="B80" s="4" t="s">
        <v>106</v>
      </c>
      <c r="C80" s="4" t="s">
        <v>107</v>
      </c>
      <c r="D80" s="44">
        <v>175000</v>
      </c>
      <c r="E80" s="45">
        <v>5.6000000000000001E-2</v>
      </c>
      <c r="F80" s="4" t="s">
        <v>98</v>
      </c>
    </row>
    <row r="81" spans="2:6">
      <c r="B81" s="4" t="s">
        <v>108</v>
      </c>
      <c r="C81" s="4" t="s">
        <v>109</v>
      </c>
      <c r="D81" s="44">
        <v>420000</v>
      </c>
      <c r="E81" s="45">
        <v>6.0999999999999999E-2</v>
      </c>
      <c r="F81" s="4" t="s">
        <v>101</v>
      </c>
    </row>
    <row r="82" spans="2:6">
      <c r="B82" s="4" t="s">
        <v>110</v>
      </c>
      <c r="C82" s="4" t="s">
        <v>111</v>
      </c>
      <c r="D82" s="44">
        <v>87000</v>
      </c>
      <c r="E82" s="45">
        <v>4.8000000000000001E-2</v>
      </c>
      <c r="F82" s="4" t="s">
        <v>98</v>
      </c>
    </row>
    <row r="83" spans="2:6">
      <c r="B83" s="4" t="s">
        <v>112</v>
      </c>
      <c r="C83" s="4" t="s">
        <v>113</v>
      </c>
      <c r="D83" s="44">
        <v>560000</v>
      </c>
      <c r="E83" s="45">
        <v>5.2999999999999999E-2</v>
      </c>
      <c r="F83" s="4" t="s">
        <v>101</v>
      </c>
    </row>
    <row r="84" spans="2:6">
      <c r="B84" s="4" t="s">
        <v>114</v>
      </c>
      <c r="C84" s="4" t="s">
        <v>115</v>
      </c>
      <c r="D84" s="44">
        <v>150000</v>
      </c>
      <c r="E84" s="45">
        <v>8.2000000000000003E-2</v>
      </c>
      <c r="F84" s="4" t="s">
        <v>98</v>
      </c>
    </row>
    <row r="85" spans="2:6">
      <c r="B85" s="4" t="s">
        <v>116</v>
      </c>
      <c r="C85" s="4" t="s">
        <v>117</v>
      </c>
      <c r="D85" s="44">
        <v>275000</v>
      </c>
      <c r="E85" s="45">
        <v>3.5000000000000003E-2</v>
      </c>
      <c r="F85" s="4" t="s">
        <v>101</v>
      </c>
    </row>
    <row r="86" spans="2:6">
      <c r="B86" s="4"/>
      <c r="C86" s="4"/>
      <c r="D86" s="4"/>
      <c r="E86" s="4"/>
      <c r="F86" s="4"/>
    </row>
  </sheetData>
  <mergeCells count="2">
    <mergeCell ref="B24:Q24"/>
    <mergeCell ref="B72:P7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2"/>
  <sheetViews>
    <sheetView workbookViewId="0">
      <selection activeCell="A42" sqref="A42:XFD42"/>
    </sheetView>
  </sheetViews>
  <sheetFormatPr defaultColWidth="9.140625" defaultRowHeight="14.3"/>
  <cols>
    <col min="2" max="2" width="22.85546875" customWidth="1"/>
    <col min="3" max="3" width="23.85546875" customWidth="1"/>
    <col min="4" max="4" width="14.140625" customWidth="1"/>
    <col min="5" max="5" width="14.85546875" customWidth="1"/>
    <col min="6" max="6" width="13.28515625" customWidth="1"/>
    <col min="7" max="7" width="29.85546875" customWidth="1"/>
  </cols>
  <sheetData>
    <row r="1" spans="1:5">
      <c r="A1" s="1" t="s">
        <v>0</v>
      </c>
      <c r="B1" s="36" t="s">
        <v>118</v>
      </c>
    </row>
    <row r="4" spans="1:5">
      <c r="B4" s="37" t="s">
        <v>119</v>
      </c>
      <c r="C4" s="38"/>
      <c r="D4" s="39" t="s">
        <v>120</v>
      </c>
    </row>
    <row r="5" spans="1:5">
      <c r="B5" s="40" t="s">
        <v>121</v>
      </c>
      <c r="C5" s="19"/>
      <c r="D5" s="34" t="str">
        <f>LEFT(B5,4)</f>
        <v>iPho</v>
      </c>
    </row>
    <row r="6" spans="1:5">
      <c r="B6" s="40" t="s">
        <v>122</v>
      </c>
      <c r="C6" s="19"/>
      <c r="D6" s="34" t="str">
        <f>LEFT(B6,4)</f>
        <v>Gala</v>
      </c>
    </row>
    <row r="7" spans="1:5">
      <c r="C7" s="19"/>
    </row>
    <row r="10" spans="1:5">
      <c r="A10" s="1" t="s">
        <v>9</v>
      </c>
      <c r="B10" s="36" t="s">
        <v>123</v>
      </c>
    </row>
    <row r="13" spans="1:5">
      <c r="B13" s="37" t="s">
        <v>124</v>
      </c>
      <c r="C13" s="37" t="s">
        <v>119</v>
      </c>
      <c r="E13" s="39" t="s">
        <v>125</v>
      </c>
    </row>
    <row r="14" spans="1:5">
      <c r="B14" s="40" t="s">
        <v>126</v>
      </c>
      <c r="C14" s="40" t="s">
        <v>121</v>
      </c>
      <c r="E14" s="34" t="str">
        <f>RIGHT(B14,2)</f>
        <v>GJ</v>
      </c>
    </row>
    <row r="15" spans="1:5">
      <c r="B15" s="40" t="s">
        <v>127</v>
      </c>
      <c r="C15" s="40" t="s">
        <v>122</v>
      </c>
      <c r="E15" s="34" t="str">
        <f>RIGHT(B15,2)</f>
        <v>MH</v>
      </c>
    </row>
    <row r="20" spans="1:7">
      <c r="A20" s="1" t="s">
        <v>128</v>
      </c>
      <c r="B20" s="36" t="s">
        <v>129</v>
      </c>
    </row>
    <row r="22" spans="1:7">
      <c r="B22" s="37" t="s">
        <v>130</v>
      </c>
      <c r="D22" s="39" t="s">
        <v>131</v>
      </c>
      <c r="E22" s="34" t="s">
        <v>132</v>
      </c>
      <c r="F22" s="34" t="s">
        <v>133</v>
      </c>
      <c r="G22" s="50" t="s">
        <v>134</v>
      </c>
    </row>
    <row r="23" spans="1:7">
      <c r="B23" s="41" t="s">
        <v>135</v>
      </c>
      <c r="D23" s="34" t="str">
        <f>MID(B23,1,7)</f>
        <v>virat18</v>
      </c>
      <c r="E23" s="34">
        <f>FIND("@",B23)</f>
        <v>8</v>
      </c>
      <c r="F23" s="34" t="str">
        <f>MID(B23,1,E23-1)</f>
        <v>virat18</v>
      </c>
      <c r="G23" s="34" t="str">
        <f>MID(B23,1,FIND("@",B23)-1)</f>
        <v>virat18</v>
      </c>
    </row>
    <row r="24" spans="1:7">
      <c r="B24" s="41" t="s">
        <v>136</v>
      </c>
      <c r="D24" s="34" t="str">
        <f>MID(B24,1,7)</f>
        <v>dhoni11</v>
      </c>
      <c r="E24" s="34">
        <f>FIND("@",B24)</f>
        <v>9</v>
      </c>
      <c r="F24" s="34" t="str">
        <f>MID(B24,1,E24-1)</f>
        <v>dhoni118</v>
      </c>
      <c r="G24" s="34" t="str">
        <f>MID(B24,1,FIND("@",B24)-1)</f>
        <v>dhoni118</v>
      </c>
    </row>
    <row r="25" spans="1:7">
      <c r="B25" s="41" t="s">
        <v>137</v>
      </c>
      <c r="D25" s="34" t="str">
        <f>MID(B25,1,7)</f>
        <v>sachin0</v>
      </c>
      <c r="E25" s="34">
        <f>FIND("@",B25)</f>
        <v>9</v>
      </c>
      <c r="F25" s="34" t="str">
        <f>MID(B25,1,E25-1)</f>
        <v>sachin08</v>
      </c>
      <c r="G25" s="34" t="str">
        <f>MID(B25,1,FIND("@",B25)-1)</f>
        <v>sachin08</v>
      </c>
    </row>
    <row r="29" spans="1:7">
      <c r="A29" s="1" t="s">
        <v>138</v>
      </c>
      <c r="B29" s="36" t="s">
        <v>139</v>
      </c>
    </row>
    <row r="31" spans="1:7">
      <c r="B31" s="37" t="s">
        <v>140</v>
      </c>
      <c r="C31" s="37" t="s">
        <v>141</v>
      </c>
      <c r="E31" s="34" t="s">
        <v>142</v>
      </c>
    </row>
    <row r="32" spans="1:7">
      <c r="A32" t="s">
        <v>143</v>
      </c>
      <c r="B32" s="30" t="s">
        <v>144</v>
      </c>
      <c r="C32" s="30">
        <v>156</v>
      </c>
      <c r="E32" s="34" t="str">
        <f>_xlfn.CONCAT(C32," ",$A$32)</f>
        <v>156 runs</v>
      </c>
    </row>
    <row r="33" spans="1:5">
      <c r="B33" s="42" t="s">
        <v>145</v>
      </c>
      <c r="C33" s="30">
        <v>210</v>
      </c>
      <c r="E33" s="34" t="str">
        <f>_xlfn.CONCAT(C33," ",$A$32)</f>
        <v>210 runs</v>
      </c>
    </row>
    <row r="34" spans="1:5">
      <c r="B34" s="30" t="s">
        <v>146</v>
      </c>
      <c r="C34" s="30">
        <v>100</v>
      </c>
      <c r="E34" s="34" t="str">
        <f>_xlfn.CONCAT(C34," ",$A$32)</f>
        <v>100 runs</v>
      </c>
    </row>
    <row r="38" spans="1:5">
      <c r="A38" s="1" t="s">
        <v>147</v>
      </c>
      <c r="B38" s="21" t="s">
        <v>148</v>
      </c>
    </row>
    <row r="41" spans="1:5">
      <c r="B41" s="43" t="s">
        <v>149</v>
      </c>
      <c r="C41" s="43" t="s">
        <v>150</v>
      </c>
    </row>
    <row r="42" spans="1:5">
      <c r="B42" s="34" t="str">
        <f>REPT("Sale ",3)</f>
        <v>Sale Sale Sale</v>
      </c>
      <c r="C42" s="50" t="s">
        <v>151</v>
      </c>
    </row>
  </sheetData>
  <hyperlinks>
    <hyperlink ref="B23" r:id="rId1" xr:uid="{00000000-0004-0000-0200-000000000000}"/>
    <hyperlink ref="B24" r:id="rId2" tooltip="mailto:dhoni118@gmail.com" xr:uid="{00000000-0004-0000-0200-000001000000}"/>
    <hyperlink ref="B25" r:id="rId3" tooltip="mailto:sachin08@gmail.com" xr:uid="{00000000-0004-0000-0200-000002000000}"/>
    <hyperlink ref="B33" r:id="rId4" xr:uid="{00000000-0004-0000-0200-000003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7"/>
  <sheetViews>
    <sheetView workbookViewId="0"/>
  </sheetViews>
  <sheetFormatPr defaultColWidth="9.140625" defaultRowHeight="14.3"/>
  <cols>
    <col min="3" max="3" width="24" customWidth="1"/>
    <col min="5" max="5" width="19.7109375" customWidth="1"/>
    <col min="6" max="6" width="12.42578125" customWidth="1"/>
    <col min="7" max="7" width="29.28515625" customWidth="1"/>
  </cols>
  <sheetData>
    <row r="1" spans="1:5">
      <c r="A1" s="24" t="s">
        <v>0</v>
      </c>
      <c r="B1" s="21" t="s">
        <v>152</v>
      </c>
    </row>
    <row r="3" spans="1:5">
      <c r="D3" s="32" t="s">
        <v>150</v>
      </c>
      <c r="E3" s="51" t="s">
        <v>153</v>
      </c>
    </row>
    <row r="4" spans="1:5">
      <c r="C4" s="33" t="s">
        <v>154</v>
      </c>
      <c r="E4" s="33" t="s">
        <v>155</v>
      </c>
    </row>
    <row r="5" spans="1:5">
      <c r="C5" s="34" t="s">
        <v>156</v>
      </c>
      <c r="E5" s="34" t="str">
        <f>TRIM(C5)</f>
        <v>anjali mehta</v>
      </c>
    </row>
    <row r="6" spans="1:5">
      <c r="C6" s="34" t="s">
        <v>157</v>
      </c>
      <c r="E6" s="34" t="str">
        <f>TRIM(C6)</f>
        <v>RAVI PATEL</v>
      </c>
    </row>
    <row r="7" spans="1:5">
      <c r="C7" s="34" t="s">
        <v>158</v>
      </c>
      <c r="E7" s="34" t="str">
        <f>TRIM(C7)</f>
        <v>Priya Singh</v>
      </c>
    </row>
    <row r="8" spans="1:5">
      <c r="C8" s="34" t="s">
        <v>159</v>
      </c>
      <c r="E8" s="34" t="str">
        <f>TRIM(C8)</f>
        <v>Vijay Singh</v>
      </c>
    </row>
    <row r="11" spans="1:5">
      <c r="A11" s="24" t="s">
        <v>9</v>
      </c>
      <c r="B11" s="21" t="s">
        <v>160</v>
      </c>
    </row>
    <row r="14" spans="1:5">
      <c r="C14" s="33" t="s">
        <v>161</v>
      </c>
      <c r="E14" s="33" t="s">
        <v>162</v>
      </c>
    </row>
    <row r="15" spans="1:5" ht="28.55">
      <c r="C15" s="35" t="s">
        <v>163</v>
      </c>
      <c r="E15" s="34" t="str">
        <f>CLEAN(C15)</f>
        <v>Family Group</v>
      </c>
    </row>
    <row r="20" spans="1:7">
      <c r="A20" s="24" t="s">
        <v>21</v>
      </c>
      <c r="B20" s="21" t="s">
        <v>164</v>
      </c>
    </row>
    <row r="23" spans="1:7">
      <c r="C23" s="33" t="s">
        <v>165</v>
      </c>
      <c r="E23" s="32" t="s">
        <v>166</v>
      </c>
      <c r="G23" s="32" t="s">
        <v>150</v>
      </c>
    </row>
    <row r="24" spans="1:7">
      <c r="C24" s="34" t="s">
        <v>167</v>
      </c>
      <c r="E24" t="str">
        <f>SUBSTITUTE(C24,"_"," ")</f>
        <v>Shape of You</v>
      </c>
      <c r="G24" s="51" t="s">
        <v>168</v>
      </c>
    </row>
    <row r="25" spans="1:7">
      <c r="C25" s="34" t="s">
        <v>169</v>
      </c>
      <c r="E25" t="str">
        <f>SUBSTITUTE(C25,"_"," ")</f>
        <v>Blinding Lights</v>
      </c>
    </row>
    <row r="29" spans="1:7">
      <c r="A29" s="24" t="s">
        <v>29</v>
      </c>
      <c r="B29" s="21" t="s">
        <v>170</v>
      </c>
    </row>
    <row r="32" spans="1:7">
      <c r="C32" s="33" t="s">
        <v>171</v>
      </c>
      <c r="E32" s="33" t="s">
        <v>172</v>
      </c>
      <c r="G32" s="32" t="s">
        <v>150</v>
      </c>
    </row>
    <row r="33" spans="1:7" ht="28.55">
      <c r="C33" s="35" t="s">
        <v>173</v>
      </c>
      <c r="E33" s="34" t="str">
        <f>PROPER(TRIM(CLEAN(C33)))</f>
        <v>Vishal Patel</v>
      </c>
      <c r="G33" s="51" t="s">
        <v>174</v>
      </c>
    </row>
    <row r="34" spans="1:7">
      <c r="C34" s="34" t="s">
        <v>175</v>
      </c>
      <c r="E34" s="34" t="str">
        <f>PROPER(TRIM(CLEAN(C34)))</f>
        <v>Ankur Shah</v>
      </c>
    </row>
    <row r="38" spans="1:7">
      <c r="A38" s="24" t="s">
        <v>31</v>
      </c>
      <c r="B38" s="21" t="s">
        <v>176</v>
      </c>
    </row>
    <row r="42" spans="1:7">
      <c r="B42" s="33" t="s">
        <v>177</v>
      </c>
      <c r="C42" s="33" t="s">
        <v>58</v>
      </c>
      <c r="E42" s="18" t="s">
        <v>178</v>
      </c>
      <c r="F42" s="18" t="s">
        <v>179</v>
      </c>
      <c r="G42" s="18" t="s">
        <v>180</v>
      </c>
    </row>
    <row r="43" spans="1:7">
      <c r="B43" s="51" t="s">
        <v>181</v>
      </c>
      <c r="C43" t="s">
        <v>182</v>
      </c>
      <c r="E43" t="str">
        <f>LOWER(C43)</f>
        <v>keyboard</v>
      </c>
      <c r="F43" t="str">
        <f>PROPER(E43)</f>
        <v>Keyboard</v>
      </c>
      <c r="G43" t="str">
        <f>UPPER(E43)</f>
        <v>KEYBOARD</v>
      </c>
    </row>
    <row r="44" spans="1:7">
      <c r="B44" s="51" t="s">
        <v>183</v>
      </c>
      <c r="C44" t="s">
        <v>184</v>
      </c>
      <c r="E44" t="str">
        <f>LOWER(C44)</f>
        <v>mouse</v>
      </c>
      <c r="F44" t="str">
        <f>PROPER(E44)</f>
        <v>Mouse</v>
      </c>
      <c r="G44" t="str">
        <f>UPPER(E44)</f>
        <v>MOUSE</v>
      </c>
    </row>
    <row r="45" spans="1:7">
      <c r="B45" s="51" t="s">
        <v>185</v>
      </c>
      <c r="C45" t="s">
        <v>186</v>
      </c>
      <c r="E45" t="str">
        <f>LOWER(C45)</f>
        <v>printer</v>
      </c>
      <c r="F45" t="str">
        <f>PROPER(E45)</f>
        <v>Printer</v>
      </c>
      <c r="G45" t="str">
        <f>UPPER(E45)</f>
        <v>PRINTER</v>
      </c>
    </row>
    <row r="46" spans="1:7">
      <c r="B46" s="51" t="s">
        <v>187</v>
      </c>
      <c r="C46" t="s">
        <v>188</v>
      </c>
      <c r="E46" t="str">
        <f>LOWER(C46)</f>
        <v>laptop</v>
      </c>
      <c r="F46" t="str">
        <f>PROPER(E46)</f>
        <v>Laptop</v>
      </c>
      <c r="G46" t="str">
        <f>UPPER(E46)</f>
        <v>LAPTOP</v>
      </c>
    </row>
    <row r="47" spans="1:7">
      <c r="B47" s="51" t="s">
        <v>189</v>
      </c>
      <c r="C47" t="s">
        <v>190</v>
      </c>
      <c r="E47" t="str">
        <f>LOWER(C47)</f>
        <v>speaker</v>
      </c>
      <c r="F47" t="str">
        <f>PROPER(E47)</f>
        <v>Speaker</v>
      </c>
      <c r="G47" t="str">
        <f>UPPER(E47)</f>
        <v>SPEAKER</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46"/>
  <sheetViews>
    <sheetView topLeftCell="A16" workbookViewId="0">
      <selection activeCell="E55" sqref="E55"/>
    </sheetView>
  </sheetViews>
  <sheetFormatPr defaultColWidth="9.140625" defaultRowHeight="14.3"/>
  <cols>
    <col min="3" max="3" width="15.7109375" customWidth="1"/>
    <col min="4" max="4" width="16.85546875" customWidth="1"/>
    <col min="5" max="5" width="30.5703125" customWidth="1"/>
    <col min="7" max="7" width="16.140625" customWidth="1"/>
  </cols>
  <sheetData>
    <row r="1" spans="1:6">
      <c r="A1" s="24" t="s">
        <v>0</v>
      </c>
      <c r="B1" s="21" t="s">
        <v>191</v>
      </c>
    </row>
    <row r="3" spans="1:6">
      <c r="C3" s="25" t="s">
        <v>192</v>
      </c>
      <c r="D3" s="25" t="s">
        <v>193</v>
      </c>
    </row>
    <row r="4" spans="1:6">
      <c r="C4" s="26">
        <f ca="1">TODAY()</f>
        <v>46274</v>
      </c>
      <c r="D4" s="27">
        <f ca="1">NOW()</f>
        <v>46274.719888194442</v>
      </c>
    </row>
    <row r="8" spans="1:6">
      <c r="A8" s="24" t="s">
        <v>9</v>
      </c>
      <c r="B8" s="21" t="s">
        <v>194</v>
      </c>
    </row>
    <row r="11" spans="1:6">
      <c r="C11" s="28" t="s">
        <v>195</v>
      </c>
      <c r="D11" s="28" t="s">
        <v>196</v>
      </c>
      <c r="E11" s="28" t="s">
        <v>197</v>
      </c>
      <c r="F11" s="28" t="s">
        <v>198</v>
      </c>
    </row>
    <row r="12" spans="1:6">
      <c r="C12" s="29">
        <v>35359</v>
      </c>
      <c r="D12" s="30">
        <f>YEAR(C12)</f>
        <v>1996</v>
      </c>
      <c r="E12" s="30">
        <f>MONTH(C12)</f>
        <v>10</v>
      </c>
      <c r="F12" s="30">
        <f>DAY(C12)</f>
        <v>21</v>
      </c>
    </row>
    <row r="13" spans="1:6">
      <c r="C13" s="29">
        <v>34915</v>
      </c>
      <c r="D13" s="30">
        <f>YEAR(C13)</f>
        <v>1995</v>
      </c>
      <c r="E13" s="30">
        <f>MONTH(C13)</f>
        <v>8</v>
      </c>
      <c r="F13" s="30">
        <f>DAY(C13)</f>
        <v>4</v>
      </c>
    </row>
    <row r="14" spans="1:6">
      <c r="C14" s="29">
        <v>36760</v>
      </c>
      <c r="D14" s="30">
        <f>YEAR(C14)</f>
        <v>2000</v>
      </c>
      <c r="E14" s="30">
        <f>MONTH(C14)</f>
        <v>8</v>
      </c>
      <c r="F14" s="30">
        <f>DAY(C14)</f>
        <v>22</v>
      </c>
    </row>
    <row r="15" spans="1:6">
      <c r="C15" s="29">
        <v>25690</v>
      </c>
      <c r="D15" s="30">
        <f>YEAR(C15)</f>
        <v>1970</v>
      </c>
      <c r="E15" s="30">
        <f>MONTH(C15)</f>
        <v>5</v>
      </c>
      <c r="F15" s="30">
        <f>DAY(C15)</f>
        <v>2</v>
      </c>
    </row>
    <row r="16" spans="1:6">
      <c r="C16" s="29">
        <v>37443</v>
      </c>
      <c r="D16" s="30">
        <f>YEAR(C16)</f>
        <v>2002</v>
      </c>
      <c r="E16" s="30">
        <f>MONTH(C16)</f>
        <v>7</v>
      </c>
      <c r="F16" s="30">
        <f>DAY(C16)</f>
        <v>6</v>
      </c>
    </row>
    <row r="20" spans="1:5">
      <c r="A20" s="24" t="s">
        <v>21</v>
      </c>
      <c r="B20" s="21" t="s">
        <v>199</v>
      </c>
    </row>
    <row r="22" spans="1:5">
      <c r="C22" s="28" t="s">
        <v>200</v>
      </c>
      <c r="D22" s="28" t="s">
        <v>201</v>
      </c>
      <c r="E22" s="28" t="s">
        <v>202</v>
      </c>
    </row>
    <row r="23" spans="1:5">
      <c r="C23" s="29">
        <v>46117</v>
      </c>
      <c r="D23" s="30">
        <f ca="1">NETWORKDAYS(C23,TODAY())</f>
        <v>113</v>
      </c>
      <c r="E23">
        <f ca="1">NETWORKDAYS.INTL(C23,TODAY(),2)</f>
        <v>112</v>
      </c>
    </row>
    <row r="24" spans="1:5">
      <c r="C24" s="29">
        <v>46119</v>
      </c>
      <c r="D24" s="30">
        <f t="shared" ref="D24:D29" ca="1" si="0">NETWORKDAYS(C24,TODAY())</f>
        <v>112</v>
      </c>
      <c r="E24">
        <f t="shared" ref="E24:E29" ca="1" si="1">NETWORKDAYS.INTL(C24,TODAY(),2)</f>
        <v>112</v>
      </c>
    </row>
    <row r="25" spans="1:5">
      <c r="C25" s="29">
        <v>46123</v>
      </c>
      <c r="D25" s="30">
        <f t="shared" ca="1" si="0"/>
        <v>108</v>
      </c>
      <c r="E25">
        <f t="shared" ca="1" si="1"/>
        <v>108</v>
      </c>
    </row>
    <row r="26" spans="1:5">
      <c r="C26" s="29">
        <v>46129</v>
      </c>
      <c r="D26" s="30">
        <f t="shared" ca="1" si="0"/>
        <v>104</v>
      </c>
      <c r="E26">
        <f t="shared" ca="1" si="1"/>
        <v>104</v>
      </c>
    </row>
    <row r="27" spans="1:5">
      <c r="C27" s="29">
        <v>46132</v>
      </c>
      <c r="D27" s="30">
        <f t="shared" ca="1" si="0"/>
        <v>103</v>
      </c>
      <c r="E27">
        <f t="shared" ca="1" si="1"/>
        <v>102</v>
      </c>
    </row>
    <row r="28" spans="1:5">
      <c r="C28" s="29">
        <v>46135</v>
      </c>
      <c r="D28" s="30">
        <f t="shared" ca="1" si="0"/>
        <v>100</v>
      </c>
      <c r="E28">
        <f t="shared" ca="1" si="1"/>
        <v>100</v>
      </c>
    </row>
    <row r="29" spans="1:5">
      <c r="C29" s="29">
        <v>46137</v>
      </c>
      <c r="D29" s="30">
        <f t="shared" ca="1" si="0"/>
        <v>98</v>
      </c>
      <c r="E29">
        <f t="shared" ca="1" si="1"/>
        <v>98</v>
      </c>
    </row>
    <row r="33" spans="1:16">
      <c r="A33" s="24" t="s">
        <v>29</v>
      </c>
      <c r="B33" s="21" t="s">
        <v>203</v>
      </c>
    </row>
    <row r="36" spans="1:16">
      <c r="B36" s="28" t="s">
        <v>204</v>
      </c>
      <c r="C36" s="28" t="s">
        <v>205</v>
      </c>
      <c r="D36" s="28" t="s">
        <v>58</v>
      </c>
      <c r="E36" s="28" t="s">
        <v>206</v>
      </c>
      <c r="G36" s="3" t="s">
        <v>207</v>
      </c>
    </row>
    <row r="37" spans="1:16">
      <c r="B37" s="52" t="s">
        <v>181</v>
      </c>
      <c r="C37" s="29">
        <v>46117</v>
      </c>
      <c r="D37" s="30" t="s">
        <v>65</v>
      </c>
      <c r="E37" s="29">
        <v>46122</v>
      </c>
      <c r="G37" s="4">
        <f t="shared" ref="G37:G42" si="2">DATEDIF(C37,E37,"D")</f>
        <v>5</v>
      </c>
    </row>
    <row r="38" spans="1:16">
      <c r="B38" s="52" t="s">
        <v>183</v>
      </c>
      <c r="C38" s="29">
        <v>46119</v>
      </c>
      <c r="D38" s="30" t="s">
        <v>208</v>
      </c>
      <c r="E38" s="31">
        <f>C38+5</f>
        <v>46124</v>
      </c>
      <c r="G38" s="4">
        <f t="shared" si="2"/>
        <v>5</v>
      </c>
    </row>
    <row r="39" spans="1:16">
      <c r="B39" s="52" t="s">
        <v>185</v>
      </c>
      <c r="C39" s="29">
        <v>46123</v>
      </c>
      <c r="D39" s="30" t="s">
        <v>62</v>
      </c>
      <c r="E39" s="31">
        <f>C39+5</f>
        <v>46128</v>
      </c>
      <c r="G39" s="4">
        <f t="shared" si="2"/>
        <v>5</v>
      </c>
    </row>
    <row r="40" spans="1:16">
      <c r="B40" s="52" t="s">
        <v>187</v>
      </c>
      <c r="C40" s="29">
        <v>46129</v>
      </c>
      <c r="D40" s="30" t="s">
        <v>71</v>
      </c>
      <c r="E40" s="31">
        <f>C40+5</f>
        <v>46134</v>
      </c>
      <c r="G40" s="4">
        <f t="shared" si="2"/>
        <v>5</v>
      </c>
    </row>
    <row r="41" spans="1:16">
      <c r="B41" s="52" t="s">
        <v>189</v>
      </c>
      <c r="C41" s="29">
        <v>46132</v>
      </c>
      <c r="D41" s="30" t="s">
        <v>209</v>
      </c>
      <c r="E41" s="31">
        <f>C41+5</f>
        <v>46137</v>
      </c>
      <c r="G41" s="4">
        <f t="shared" si="2"/>
        <v>5</v>
      </c>
    </row>
    <row r="42" spans="1:16">
      <c r="B42" s="52" t="s">
        <v>210</v>
      </c>
      <c r="C42" s="29">
        <v>46135</v>
      </c>
      <c r="D42" s="30" t="s">
        <v>211</v>
      </c>
      <c r="E42" s="31">
        <f>C42+5</f>
        <v>46140</v>
      </c>
      <c r="G42" s="4">
        <f t="shared" si="2"/>
        <v>5</v>
      </c>
    </row>
    <row r="46" spans="1:16" ht="36" customHeight="1">
      <c r="A46" s="24" t="s">
        <v>31</v>
      </c>
      <c r="B46" s="53" t="s">
        <v>212</v>
      </c>
      <c r="C46" s="53"/>
      <c r="D46" s="53"/>
      <c r="E46" s="53"/>
      <c r="F46" s="53"/>
      <c r="G46" s="53"/>
      <c r="H46" s="53"/>
      <c r="I46" s="53"/>
      <c r="J46" s="53"/>
      <c r="K46" s="53"/>
      <c r="L46" s="53"/>
      <c r="M46" s="53"/>
      <c r="N46" s="53"/>
      <c r="O46" s="53"/>
      <c r="P46" s="53"/>
    </row>
  </sheetData>
  <mergeCells count="1">
    <mergeCell ref="B46:P46"/>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4:P60"/>
  <sheetViews>
    <sheetView topLeftCell="A29" workbookViewId="0">
      <selection activeCell="A4" sqref="A4"/>
    </sheetView>
  </sheetViews>
  <sheetFormatPr defaultColWidth="9.140625" defaultRowHeight="14.3"/>
  <cols>
    <col min="3" max="3" width="11.85546875" customWidth="1"/>
    <col min="4" max="4" width="21" customWidth="1"/>
    <col min="5" max="5" width="19.42578125" customWidth="1"/>
    <col min="6" max="6" width="13.28515625" customWidth="1"/>
    <col min="7" max="7" width="13.7109375" customWidth="1"/>
    <col min="8" max="8" width="21" customWidth="1"/>
    <col min="9" max="9" width="17.42578125" customWidth="1"/>
    <col min="10" max="10" width="17.7109375" customWidth="1"/>
    <col min="11" max="11" width="11.28515625" customWidth="1"/>
  </cols>
  <sheetData>
    <row r="4" spans="1:16">
      <c r="A4" s="1" t="s">
        <v>213</v>
      </c>
      <c r="B4" s="21" t="s">
        <v>214</v>
      </c>
    </row>
    <row r="7" spans="1:16">
      <c r="C7" s="3" t="s">
        <v>40</v>
      </c>
      <c r="D7" s="3" t="s">
        <v>205</v>
      </c>
      <c r="E7" s="3" t="s">
        <v>215</v>
      </c>
      <c r="F7" s="3" t="s">
        <v>216</v>
      </c>
      <c r="G7" s="3" t="s">
        <v>59</v>
      </c>
      <c r="H7" s="3" t="s">
        <v>81</v>
      </c>
      <c r="I7" s="3" t="s">
        <v>206</v>
      </c>
      <c r="K7" s="3" t="s">
        <v>217</v>
      </c>
    </row>
    <row r="8" spans="1:16">
      <c r="C8" s="4">
        <v>1</v>
      </c>
      <c r="D8" s="17">
        <v>46114</v>
      </c>
      <c r="E8" s="4" t="s">
        <v>218</v>
      </c>
      <c r="F8" s="4">
        <v>4</v>
      </c>
      <c r="G8" s="4">
        <v>150</v>
      </c>
      <c r="H8" s="4">
        <f>G8*F8</f>
        <v>600</v>
      </c>
      <c r="I8" s="22">
        <f>D8+5</f>
        <v>46119</v>
      </c>
      <c r="K8" s="4" t="str">
        <f>IF(H8&gt;=500,"High Value","Regular")</f>
        <v>High Value</v>
      </c>
    </row>
    <row r="9" spans="1:16">
      <c r="C9" s="4">
        <v>2</v>
      </c>
      <c r="D9" s="17">
        <v>46117</v>
      </c>
      <c r="E9" s="4" t="s">
        <v>219</v>
      </c>
      <c r="F9" s="4">
        <v>6</v>
      </c>
      <c r="G9" s="4">
        <v>199</v>
      </c>
      <c r="H9" s="4">
        <f>G9*F9</f>
        <v>1194</v>
      </c>
      <c r="I9" s="22">
        <f>D9+5</f>
        <v>46122</v>
      </c>
      <c r="K9" s="4" t="str">
        <f>IF(H9&gt;=500,"High Value","Regular")</f>
        <v>High Value</v>
      </c>
    </row>
    <row r="10" spans="1:16">
      <c r="C10" s="4">
        <v>3</v>
      </c>
      <c r="D10" s="17">
        <v>46167</v>
      </c>
      <c r="E10" s="4" t="s">
        <v>220</v>
      </c>
      <c r="F10" s="4">
        <v>2</v>
      </c>
      <c r="G10" s="4">
        <v>50</v>
      </c>
      <c r="H10" s="4">
        <f>G10*F10</f>
        <v>100</v>
      </c>
      <c r="I10" s="22">
        <f>D10+5</f>
        <v>46172</v>
      </c>
      <c r="K10" s="4" t="str">
        <f>IF(H10&gt;=500,"High Value","Regular")</f>
        <v>Regular</v>
      </c>
    </row>
    <row r="11" spans="1:16">
      <c r="C11" s="4">
        <v>4</v>
      </c>
      <c r="D11" s="17">
        <v>46172</v>
      </c>
      <c r="E11" s="4" t="s">
        <v>221</v>
      </c>
      <c r="F11" s="4">
        <v>9</v>
      </c>
      <c r="G11" s="4">
        <v>60</v>
      </c>
      <c r="H11" s="4">
        <f>G11*F11</f>
        <v>540</v>
      </c>
      <c r="I11" s="22">
        <f>D11+5</f>
        <v>46177</v>
      </c>
      <c r="K11" s="4" t="str">
        <f>IF(H11&gt;=500,"High Value","Regular")</f>
        <v>High Value</v>
      </c>
    </row>
    <row r="12" spans="1:16">
      <c r="C12" s="4">
        <v>5</v>
      </c>
      <c r="D12" s="17">
        <v>46177</v>
      </c>
      <c r="E12" s="4" t="s">
        <v>222</v>
      </c>
      <c r="F12" s="4">
        <v>1</v>
      </c>
      <c r="G12" s="4">
        <v>200</v>
      </c>
      <c r="H12" s="4">
        <f>G12*F12</f>
        <v>200</v>
      </c>
      <c r="I12" s="22">
        <f>D12+5</f>
        <v>46182</v>
      </c>
      <c r="K12" s="4" t="str">
        <f>IF(H12&gt;=500,"High Value","Regular")</f>
        <v>Regular</v>
      </c>
    </row>
    <row r="15" spans="1:16" ht="34.950000000000003" customHeight="1">
      <c r="A15" s="1" t="s">
        <v>223</v>
      </c>
      <c r="B15" s="56" t="s">
        <v>224</v>
      </c>
      <c r="C15" s="56"/>
      <c r="D15" s="56"/>
      <c r="E15" s="56"/>
      <c r="F15" s="56"/>
      <c r="G15" s="56"/>
      <c r="H15" s="56"/>
      <c r="I15" s="56"/>
      <c r="J15" s="56"/>
      <c r="K15" s="56"/>
      <c r="L15" s="56"/>
      <c r="M15" s="56"/>
      <c r="N15" s="56"/>
      <c r="O15" s="56"/>
      <c r="P15" s="56"/>
    </row>
    <row r="16" spans="1:16">
      <c r="D16" s="23" t="s">
        <v>225</v>
      </c>
    </row>
    <row r="18" spans="1:12">
      <c r="C18" s="3" t="s">
        <v>226</v>
      </c>
      <c r="D18" s="3" t="s">
        <v>227</v>
      </c>
      <c r="E18" s="3" t="s">
        <v>228</v>
      </c>
      <c r="F18" s="3" t="s">
        <v>229</v>
      </c>
      <c r="G18" s="3" t="s">
        <v>230</v>
      </c>
      <c r="H18" s="3" t="s">
        <v>231</v>
      </c>
      <c r="I18" s="3" t="s">
        <v>232</v>
      </c>
      <c r="K18" s="3" t="s">
        <v>217</v>
      </c>
    </row>
    <row r="19" spans="1:12">
      <c r="C19" s="4">
        <v>1</v>
      </c>
      <c r="D19" s="17" t="s">
        <v>233</v>
      </c>
      <c r="E19" s="4">
        <v>150</v>
      </c>
      <c r="F19">
        <v>175</v>
      </c>
      <c r="G19">
        <v>200</v>
      </c>
      <c r="H19">
        <v>200</v>
      </c>
      <c r="I19">
        <f t="shared" ref="I19:I24" si="0">SUM(E19:H19)</f>
        <v>725</v>
      </c>
      <c r="K19" t="str">
        <f t="shared" ref="K19:K24" si="1">IF(I19&gt;=1000,"Star",IF(I19&gt;=700,"Pro",IF(I19&gt;=400,"Rising","Newbie")))</f>
        <v>Pro</v>
      </c>
      <c r="L19" s="51" t="s">
        <v>234</v>
      </c>
    </row>
    <row r="20" spans="1:12">
      <c r="C20" s="4">
        <v>2</v>
      </c>
      <c r="D20" s="17" t="s">
        <v>235</v>
      </c>
      <c r="E20" s="4">
        <v>200</v>
      </c>
      <c r="F20">
        <v>250</v>
      </c>
      <c r="G20">
        <v>300</v>
      </c>
      <c r="H20">
        <v>325</v>
      </c>
      <c r="I20">
        <f t="shared" si="0"/>
        <v>1075</v>
      </c>
      <c r="K20" t="str">
        <f t="shared" si="1"/>
        <v>Star</v>
      </c>
    </row>
    <row r="21" spans="1:12">
      <c r="C21" s="4">
        <v>3</v>
      </c>
      <c r="D21" s="17" t="s">
        <v>236</v>
      </c>
      <c r="E21" s="4">
        <v>300</v>
      </c>
      <c r="F21">
        <v>350</v>
      </c>
      <c r="G21">
        <v>275</v>
      </c>
      <c r="H21">
        <v>15</v>
      </c>
      <c r="I21">
        <f t="shared" si="0"/>
        <v>940</v>
      </c>
      <c r="K21" t="str">
        <f t="shared" si="1"/>
        <v>Pro</v>
      </c>
    </row>
    <row r="22" spans="1:12">
      <c r="C22" s="4">
        <v>4</v>
      </c>
      <c r="D22" s="17" t="s">
        <v>237</v>
      </c>
      <c r="E22" s="4">
        <v>250</v>
      </c>
      <c r="F22">
        <v>350</v>
      </c>
      <c r="G22">
        <v>100</v>
      </c>
      <c r="H22">
        <v>275</v>
      </c>
      <c r="I22">
        <f t="shared" si="0"/>
        <v>975</v>
      </c>
      <c r="K22" t="str">
        <f t="shared" si="1"/>
        <v>Pro</v>
      </c>
    </row>
    <row r="23" spans="1:12">
      <c r="C23" s="4">
        <v>5</v>
      </c>
      <c r="D23" s="17" t="s">
        <v>238</v>
      </c>
      <c r="E23" s="4">
        <v>175</v>
      </c>
      <c r="F23">
        <v>125</v>
      </c>
      <c r="G23">
        <v>50</v>
      </c>
      <c r="H23">
        <v>325</v>
      </c>
      <c r="I23">
        <f t="shared" si="0"/>
        <v>675</v>
      </c>
      <c r="K23" t="str">
        <f t="shared" si="1"/>
        <v>Rising</v>
      </c>
    </row>
    <row r="24" spans="1:12">
      <c r="C24" s="4">
        <v>5</v>
      </c>
      <c r="D24" s="17" t="s">
        <v>239</v>
      </c>
      <c r="E24" s="4">
        <v>50</v>
      </c>
      <c r="F24">
        <v>125</v>
      </c>
      <c r="G24">
        <v>50</v>
      </c>
      <c r="H24">
        <v>100</v>
      </c>
      <c r="I24">
        <f t="shared" si="0"/>
        <v>325</v>
      </c>
      <c r="K24" t="str">
        <f t="shared" si="1"/>
        <v>Newbie</v>
      </c>
    </row>
    <row r="28" spans="1:12">
      <c r="A28" s="1" t="s">
        <v>240</v>
      </c>
      <c r="B28" s="21" t="s">
        <v>241</v>
      </c>
    </row>
    <row r="31" spans="1:12">
      <c r="C31" s="3" t="s">
        <v>40</v>
      </c>
      <c r="D31" s="3" t="s">
        <v>205</v>
      </c>
      <c r="E31" s="3" t="s">
        <v>58</v>
      </c>
      <c r="F31" s="3" t="s">
        <v>216</v>
      </c>
      <c r="G31" s="3" t="s">
        <v>59</v>
      </c>
      <c r="H31" s="3" t="s">
        <v>81</v>
      </c>
      <c r="I31" s="3" t="s">
        <v>242</v>
      </c>
      <c r="J31" s="3" t="s">
        <v>61</v>
      </c>
      <c r="L31" s="3" t="s">
        <v>217</v>
      </c>
    </row>
    <row r="32" spans="1:12">
      <c r="C32" s="4">
        <v>101</v>
      </c>
      <c r="D32" s="17">
        <v>46114</v>
      </c>
      <c r="E32" s="4" t="s">
        <v>243</v>
      </c>
      <c r="F32" s="4">
        <v>3</v>
      </c>
      <c r="G32" s="4">
        <v>250</v>
      </c>
      <c r="H32" s="4">
        <f>F32*G32</f>
        <v>750</v>
      </c>
      <c r="I32" s="4" t="s">
        <v>244</v>
      </c>
      <c r="J32" s="4" t="s">
        <v>64</v>
      </c>
      <c r="L32" s="4" t="str">
        <f>IF(AND(I32="Prepaid",J32="Delivered"),"Eligible","Not")</f>
        <v>Eligible</v>
      </c>
    </row>
    <row r="33" spans="1:12">
      <c r="C33" s="4">
        <v>102</v>
      </c>
      <c r="D33" s="17">
        <v>46117</v>
      </c>
      <c r="E33" s="4" t="s">
        <v>65</v>
      </c>
      <c r="F33" s="4">
        <v>5</v>
      </c>
      <c r="G33" s="4">
        <v>199</v>
      </c>
      <c r="H33" s="4">
        <f>F33*G33</f>
        <v>995</v>
      </c>
      <c r="I33" s="4" t="s">
        <v>244</v>
      </c>
      <c r="J33" s="4" t="s">
        <v>70</v>
      </c>
      <c r="L33" s="4" t="str">
        <f>IF(AND(I33="Prepaid",J33="Delivered"),"Eligible","Not")</f>
        <v>Not</v>
      </c>
    </row>
    <row r="34" spans="1:12">
      <c r="C34" s="4">
        <v>103</v>
      </c>
      <c r="D34" s="17">
        <v>46167</v>
      </c>
      <c r="E34" s="4" t="s">
        <v>62</v>
      </c>
      <c r="F34" s="4">
        <v>5</v>
      </c>
      <c r="G34" s="4">
        <v>150</v>
      </c>
      <c r="H34" s="4">
        <f>F34*G34</f>
        <v>750</v>
      </c>
      <c r="I34" s="4" t="s">
        <v>66</v>
      </c>
      <c r="J34" s="4" t="s">
        <v>64</v>
      </c>
      <c r="L34" s="4" t="str">
        <f>IF(AND(I34="Prepaid",J34="Delivered"),"Eligible","Not")</f>
        <v>Not</v>
      </c>
    </row>
    <row r="35" spans="1:12">
      <c r="C35" s="4">
        <v>104</v>
      </c>
      <c r="D35" s="17">
        <v>46172</v>
      </c>
      <c r="E35" s="4" t="s">
        <v>68</v>
      </c>
      <c r="F35" s="4">
        <v>2</v>
      </c>
      <c r="G35" s="4">
        <v>1999</v>
      </c>
      <c r="H35" s="4">
        <f>F35*G35</f>
        <v>3998</v>
      </c>
      <c r="I35" s="4" t="s">
        <v>66</v>
      </c>
      <c r="J35" s="4" t="s">
        <v>70</v>
      </c>
      <c r="L35" s="4" t="str">
        <f>IF(AND(I35="Prepaid",J35="Delivered"),"Eligible","Not")</f>
        <v>Not</v>
      </c>
    </row>
    <row r="36" spans="1:12">
      <c r="C36" s="4">
        <v>105</v>
      </c>
      <c r="D36" s="17">
        <v>46177</v>
      </c>
      <c r="E36" s="4" t="s">
        <v>245</v>
      </c>
      <c r="F36" s="4">
        <v>10</v>
      </c>
      <c r="G36" s="4">
        <v>499</v>
      </c>
      <c r="H36" s="4">
        <f>F36*G36</f>
        <v>4990</v>
      </c>
      <c r="I36" s="4" t="s">
        <v>244</v>
      </c>
      <c r="J36" s="4" t="s">
        <v>64</v>
      </c>
      <c r="L36" s="4" t="str">
        <f>IF(AND(I36="Prepaid",J36="Delivered"),"Eligible","Not")</f>
        <v>Eligible</v>
      </c>
    </row>
    <row r="40" spans="1:12">
      <c r="A40" s="1" t="s">
        <v>246</v>
      </c>
      <c r="B40" s="21" t="s">
        <v>247</v>
      </c>
    </row>
    <row r="42" spans="1:12">
      <c r="C42" s="3" t="s">
        <v>248</v>
      </c>
      <c r="D42" s="3" t="s">
        <v>249</v>
      </c>
      <c r="E42" s="3" t="s">
        <v>250</v>
      </c>
      <c r="F42" s="3" t="s">
        <v>251</v>
      </c>
      <c r="G42" s="3" t="s">
        <v>252</v>
      </c>
      <c r="I42" s="3" t="s">
        <v>253</v>
      </c>
    </row>
    <row r="43" spans="1:12">
      <c r="C43" s="4">
        <v>1</v>
      </c>
      <c r="D43" s="4" t="s">
        <v>254</v>
      </c>
      <c r="E43" s="4" t="s">
        <v>24</v>
      </c>
      <c r="F43" s="4" t="s">
        <v>255</v>
      </c>
      <c r="G43" s="4" t="s">
        <v>255</v>
      </c>
      <c r="I43" s="4" t="str">
        <f>IF(OR(F43="Yes",G43="Yes"),"Quick Access","Not")</f>
        <v>Quick Access</v>
      </c>
    </row>
    <row r="44" spans="1:12">
      <c r="C44" s="4">
        <v>2</v>
      </c>
      <c r="D44" s="4" t="s">
        <v>256</v>
      </c>
      <c r="E44" s="4" t="s">
        <v>257</v>
      </c>
      <c r="F44" s="4" t="s">
        <v>255</v>
      </c>
      <c r="G44" s="4" t="s">
        <v>258</v>
      </c>
      <c r="I44" s="4" t="str">
        <f>IF(OR(F44="Yes",G44="Yes"),"Quick Access","Not")</f>
        <v>Quick Access</v>
      </c>
    </row>
    <row r="45" spans="1:12">
      <c r="C45" s="4">
        <v>3</v>
      </c>
      <c r="D45" s="4" t="s">
        <v>259</v>
      </c>
      <c r="E45" s="4" t="s">
        <v>260</v>
      </c>
      <c r="F45" s="4" t="s">
        <v>258</v>
      </c>
      <c r="G45" s="4" t="s">
        <v>258</v>
      </c>
      <c r="I45" s="4" t="str">
        <f>IF(OR(F45="Yes",G45="Yes"),"Quick Access","Not")</f>
        <v>Not</v>
      </c>
    </row>
    <row r="46" spans="1:12">
      <c r="C46" s="4">
        <v>4</v>
      </c>
      <c r="D46" s="4" t="s">
        <v>261</v>
      </c>
      <c r="E46" s="4" t="s">
        <v>262</v>
      </c>
      <c r="F46" s="4" t="s">
        <v>258</v>
      </c>
      <c r="G46" s="4" t="s">
        <v>258</v>
      </c>
      <c r="I46" s="4" t="str">
        <f>IF(OR(F46="Yes",G46="Yes"),"Quick Access","Not")</f>
        <v>Not</v>
      </c>
    </row>
    <row r="47" spans="1:12">
      <c r="C47" s="4">
        <v>5</v>
      </c>
      <c r="D47" s="4" t="s">
        <v>263</v>
      </c>
      <c r="E47" s="4" t="s">
        <v>264</v>
      </c>
      <c r="F47" s="4" t="s">
        <v>255</v>
      </c>
      <c r="G47" s="4" t="s">
        <v>258</v>
      </c>
      <c r="I47" s="4" t="str">
        <f>IF(OR(F47="Yes",G47="Yes"),"Quick Access","Not")</f>
        <v>Quick Access</v>
      </c>
    </row>
    <row r="52" spans="1:14" ht="24.95" customHeight="1">
      <c r="A52" s="1" t="s">
        <v>265</v>
      </c>
      <c r="B52" s="53" t="s">
        <v>266</v>
      </c>
      <c r="C52" s="53"/>
      <c r="D52" s="53"/>
      <c r="E52" s="53"/>
      <c r="F52" s="53"/>
      <c r="G52" s="53"/>
      <c r="H52" s="53"/>
      <c r="I52" s="53"/>
      <c r="J52" s="53"/>
      <c r="K52" s="53"/>
      <c r="L52" s="53"/>
      <c r="M52" s="53"/>
      <c r="N52" s="53"/>
    </row>
    <row r="55" spans="1:14">
      <c r="C55" s="12" t="s">
        <v>40</v>
      </c>
      <c r="D55" s="3" t="s">
        <v>205</v>
      </c>
      <c r="E55" s="3" t="s">
        <v>58</v>
      </c>
      <c r="F55" s="3" t="s">
        <v>59</v>
      </c>
      <c r="G55" s="12" t="s">
        <v>267</v>
      </c>
      <c r="H55" s="12" t="s">
        <v>60</v>
      </c>
      <c r="J55" s="3" t="s">
        <v>217</v>
      </c>
    </row>
    <row r="56" spans="1:14">
      <c r="C56" s="13">
        <v>1</v>
      </c>
      <c r="D56" s="17">
        <v>46114</v>
      </c>
      <c r="E56" s="4" t="s">
        <v>218</v>
      </c>
      <c r="F56" s="4">
        <v>150</v>
      </c>
      <c r="G56" s="13" t="s">
        <v>268</v>
      </c>
      <c r="H56" s="13" t="s">
        <v>269</v>
      </c>
      <c r="J56" t="str">
        <f>IF(_xlfn.XOR(G56="New",H56="Cash"),"Suspicious","Not")</f>
        <v>Not</v>
      </c>
      <c r="L56" t="b">
        <f>_xlfn.XOR(G56="New",H56="Cash")</f>
        <v>0</v>
      </c>
    </row>
    <row r="57" spans="1:14">
      <c r="C57" s="13">
        <v>2</v>
      </c>
      <c r="D57" s="17">
        <v>46117</v>
      </c>
      <c r="E57" s="4" t="s">
        <v>219</v>
      </c>
      <c r="F57" s="4">
        <v>199</v>
      </c>
      <c r="G57" s="13" t="s">
        <v>268</v>
      </c>
      <c r="H57" s="13" t="s">
        <v>244</v>
      </c>
      <c r="J57" t="str">
        <f>IF(_xlfn.XOR(G57="New",H57="Cash"),"Suspicious","Not")</f>
        <v>Suspicious</v>
      </c>
    </row>
    <row r="58" spans="1:14">
      <c r="C58" s="13">
        <v>3</v>
      </c>
      <c r="D58" s="17">
        <v>46167</v>
      </c>
      <c r="E58" s="4" t="s">
        <v>220</v>
      </c>
      <c r="F58" s="4">
        <v>50</v>
      </c>
      <c r="G58" s="13" t="s">
        <v>270</v>
      </c>
      <c r="H58" s="13" t="s">
        <v>269</v>
      </c>
      <c r="J58" t="str">
        <f>IF(_xlfn.XOR(G58="New",H58="Cash"),"Suspicious","Not")</f>
        <v>Suspicious</v>
      </c>
    </row>
    <row r="59" spans="1:14">
      <c r="C59" s="13">
        <v>4</v>
      </c>
      <c r="D59" s="17">
        <v>46172</v>
      </c>
      <c r="E59" s="4" t="s">
        <v>221</v>
      </c>
      <c r="F59" s="4">
        <v>60</v>
      </c>
      <c r="G59" s="13" t="s">
        <v>270</v>
      </c>
      <c r="H59" s="13" t="s">
        <v>244</v>
      </c>
      <c r="J59" t="str">
        <f>IF(_xlfn.XOR(G59="New",H59="Cash"),"Suspicious","Not")</f>
        <v>Not</v>
      </c>
    </row>
    <row r="60" spans="1:14">
      <c r="C60" s="13">
        <v>5</v>
      </c>
      <c r="D60" s="17">
        <v>46177</v>
      </c>
      <c r="E60" s="4" t="s">
        <v>222</v>
      </c>
      <c r="F60" s="4">
        <v>200</v>
      </c>
      <c r="G60" s="13" t="s">
        <v>268</v>
      </c>
      <c r="H60" s="13" t="s">
        <v>269</v>
      </c>
      <c r="J60" t="str">
        <f>IF(_xlfn.XOR(G60="New",H60="Cash"),"Suspicious","Not")</f>
        <v>Not</v>
      </c>
    </row>
  </sheetData>
  <mergeCells count="2">
    <mergeCell ref="B15:P15"/>
    <mergeCell ref="B52:N5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defaultColWidth="9.140625" defaultRowHeight="14.3"/>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U38"/>
  <sheetViews>
    <sheetView topLeftCell="A16" workbookViewId="0">
      <selection activeCell="D42" sqref="D42"/>
    </sheetView>
  </sheetViews>
  <sheetFormatPr defaultColWidth="9.140625" defaultRowHeight="14.3"/>
  <cols>
    <col min="3" max="3" width="13.42578125" customWidth="1"/>
    <col min="4" max="4" width="14.28515625" customWidth="1"/>
    <col min="5" max="5" width="11.42578125" customWidth="1"/>
    <col min="6" max="9" width="11.140625"/>
    <col min="12" max="12" width="11.140625" customWidth="1"/>
  </cols>
  <sheetData>
    <row r="3" spans="1:21">
      <c r="A3" s="1" t="s">
        <v>213</v>
      </c>
      <c r="B3" s="54" t="s">
        <v>271</v>
      </c>
      <c r="C3" s="54"/>
      <c r="D3" s="54"/>
      <c r="E3" s="54"/>
      <c r="F3" s="54"/>
      <c r="G3" s="54"/>
      <c r="H3" s="54"/>
      <c r="I3" s="54"/>
      <c r="J3" s="54"/>
      <c r="K3" s="54"/>
      <c r="L3" s="54"/>
      <c r="M3" s="54"/>
      <c r="N3" s="54"/>
      <c r="O3" s="54"/>
      <c r="P3" s="54"/>
      <c r="Q3" s="54"/>
      <c r="R3" s="54"/>
      <c r="S3" s="54"/>
      <c r="T3" s="54"/>
      <c r="U3" s="54"/>
    </row>
    <row r="5" spans="1:21">
      <c r="C5" s="3" t="s">
        <v>272</v>
      </c>
      <c r="D5" s="15">
        <v>45394</v>
      </c>
      <c r="E5" s="15">
        <v>45397</v>
      </c>
      <c r="F5" s="16">
        <f>E5+4</f>
        <v>45401</v>
      </c>
      <c r="G5" s="16">
        <f>F5+4</f>
        <v>45405</v>
      </c>
      <c r="H5" s="16">
        <f>G5+4</f>
        <v>45409</v>
      </c>
      <c r="I5" s="16">
        <f>H5+4</f>
        <v>45413</v>
      </c>
      <c r="K5" s="3" t="s">
        <v>273</v>
      </c>
      <c r="L5" s="3" t="s">
        <v>274</v>
      </c>
      <c r="M5" s="3" t="s">
        <v>217</v>
      </c>
    </row>
    <row r="6" spans="1:21">
      <c r="C6" s="4" t="s">
        <v>17</v>
      </c>
      <c r="D6" s="4">
        <v>150</v>
      </c>
      <c r="E6" s="4">
        <v>199</v>
      </c>
      <c r="F6" s="4">
        <v>125</v>
      </c>
      <c r="G6" s="4">
        <v>230</v>
      </c>
      <c r="H6" s="4">
        <v>175</v>
      </c>
      <c r="I6" s="4">
        <v>190</v>
      </c>
      <c r="K6" t="s">
        <v>17</v>
      </c>
      <c r="L6" s="17">
        <v>45397</v>
      </c>
    </row>
    <row r="7" spans="1:21">
      <c r="C7" s="4" t="s">
        <v>15</v>
      </c>
      <c r="D7" s="4">
        <v>130</v>
      </c>
      <c r="E7" s="4">
        <v>175</v>
      </c>
      <c r="F7" s="4">
        <v>134</v>
      </c>
      <c r="G7" s="4">
        <v>190</v>
      </c>
      <c r="H7" s="4">
        <v>134</v>
      </c>
      <c r="I7" s="4">
        <v>175</v>
      </c>
      <c r="K7" s="4"/>
      <c r="L7" s="4"/>
      <c r="M7" cm="1">
        <f t="array" ref="M7">INDEX(C5:I11,MATCH(K6,C5:C11,FALSE()),MATCH(L6,C5:I5,FALSE()))</f>
        <v>199</v>
      </c>
      <c r="N7" s="51" t="s">
        <v>275</v>
      </c>
    </row>
    <row r="8" spans="1:21">
      <c r="C8" s="4" t="s">
        <v>18</v>
      </c>
      <c r="D8" s="4">
        <v>135</v>
      </c>
      <c r="E8" s="4">
        <v>120</v>
      </c>
      <c r="F8" s="4">
        <v>160</v>
      </c>
      <c r="G8" s="4">
        <v>186</v>
      </c>
      <c r="H8" s="4">
        <v>160</v>
      </c>
      <c r="I8" s="4">
        <v>120</v>
      </c>
    </row>
    <row r="9" spans="1:21">
      <c r="C9" s="4" t="s">
        <v>16</v>
      </c>
      <c r="D9" s="4">
        <v>175</v>
      </c>
      <c r="E9" s="4">
        <v>135</v>
      </c>
      <c r="F9" s="4">
        <v>180</v>
      </c>
      <c r="G9" s="4">
        <v>175</v>
      </c>
      <c r="H9" s="4">
        <v>180</v>
      </c>
      <c r="I9" s="4">
        <v>135</v>
      </c>
    </row>
    <row r="10" spans="1:21">
      <c r="C10" s="4" t="s">
        <v>276</v>
      </c>
      <c r="D10" s="4">
        <v>199</v>
      </c>
      <c r="E10" s="4">
        <v>178</v>
      </c>
      <c r="F10" s="4">
        <v>145</v>
      </c>
      <c r="G10" s="4">
        <v>195</v>
      </c>
      <c r="H10" s="4">
        <v>145</v>
      </c>
      <c r="I10" s="4">
        <v>178</v>
      </c>
    </row>
    <row r="11" spans="1:21">
      <c r="C11" s="4" t="s">
        <v>20</v>
      </c>
      <c r="D11" s="4">
        <v>240</v>
      </c>
      <c r="E11" s="4">
        <v>130</v>
      </c>
      <c r="F11" s="4">
        <v>190</v>
      </c>
      <c r="G11" s="4">
        <v>200</v>
      </c>
      <c r="H11" s="4">
        <v>190</v>
      </c>
      <c r="I11" s="4">
        <v>130</v>
      </c>
    </row>
    <row r="15" spans="1:21">
      <c r="A15" s="1" t="s">
        <v>223</v>
      </c>
      <c r="B15" s="54" t="s">
        <v>277</v>
      </c>
      <c r="C15" s="54"/>
      <c r="D15" s="54"/>
      <c r="E15" s="54"/>
      <c r="F15" s="54"/>
      <c r="G15" s="54"/>
      <c r="H15" s="54"/>
      <c r="I15" s="54"/>
      <c r="J15" s="54"/>
      <c r="K15" s="54"/>
      <c r="L15" s="54"/>
      <c r="M15" s="54"/>
      <c r="N15" s="54"/>
      <c r="O15" s="54"/>
      <c r="P15" s="54"/>
      <c r="Q15" s="54"/>
      <c r="R15" s="54"/>
      <c r="S15" s="54"/>
      <c r="T15" s="54"/>
      <c r="U15" s="54"/>
    </row>
    <row r="18" spans="1:21">
      <c r="C18" s="18" t="s">
        <v>43</v>
      </c>
      <c r="D18" s="18" t="s">
        <v>49</v>
      </c>
      <c r="E18" s="18" t="s">
        <v>45</v>
      </c>
      <c r="F18" s="18" t="s">
        <v>54</v>
      </c>
      <c r="G18" s="18" t="s">
        <v>52</v>
      </c>
      <c r="H18" s="18" t="s">
        <v>278</v>
      </c>
      <c r="K18" s="3" t="s">
        <v>273</v>
      </c>
      <c r="L18" s="3" t="s">
        <v>274</v>
      </c>
      <c r="M18" s="3" t="s">
        <v>217</v>
      </c>
    </row>
    <row r="19" spans="1:21">
      <c r="C19" t="s">
        <v>279</v>
      </c>
      <c r="D19">
        <v>75000</v>
      </c>
      <c r="E19">
        <v>99490</v>
      </c>
      <c r="F19">
        <v>45499</v>
      </c>
      <c r="G19">
        <v>38499</v>
      </c>
      <c r="H19">
        <v>65099</v>
      </c>
      <c r="K19" t="s">
        <v>280</v>
      </c>
      <c r="L19" t="s">
        <v>45</v>
      </c>
      <c r="M19" cm="1">
        <f t="array" ref="M19">INDEX(C18:H23,MATCH(K19,C18:C23,FALSE()),MATCH(L19,C18:H18,FALSE()))</f>
        <v>98400</v>
      </c>
      <c r="N19" s="51" t="s">
        <v>281</v>
      </c>
    </row>
    <row r="20" spans="1:21">
      <c r="C20" t="s">
        <v>280</v>
      </c>
      <c r="D20">
        <v>74000</v>
      </c>
      <c r="E20">
        <v>98400</v>
      </c>
      <c r="F20">
        <v>44599</v>
      </c>
      <c r="G20">
        <v>38000</v>
      </c>
      <c r="H20">
        <v>66499</v>
      </c>
    </row>
    <row r="21" spans="1:21">
      <c r="C21" t="s">
        <v>282</v>
      </c>
      <c r="D21">
        <v>75499</v>
      </c>
      <c r="E21">
        <v>99000</v>
      </c>
      <c r="F21">
        <v>43999</v>
      </c>
      <c r="G21">
        <v>36499</v>
      </c>
      <c r="H21">
        <v>68999</v>
      </c>
    </row>
    <row r="22" spans="1:21">
      <c r="C22" t="s">
        <v>283</v>
      </c>
      <c r="D22">
        <v>84000</v>
      </c>
      <c r="E22">
        <v>96400</v>
      </c>
      <c r="F22">
        <v>45000</v>
      </c>
      <c r="G22">
        <v>35000</v>
      </c>
      <c r="H22">
        <v>62000</v>
      </c>
    </row>
    <row r="23" spans="1:21">
      <c r="C23" t="s">
        <v>284</v>
      </c>
      <c r="D23">
        <v>86000</v>
      </c>
      <c r="E23">
        <v>98499</v>
      </c>
      <c r="F23">
        <v>43499</v>
      </c>
      <c r="G23">
        <v>37000</v>
      </c>
      <c r="H23">
        <v>62499</v>
      </c>
    </row>
    <row r="27" spans="1:21" ht="27.1" customHeight="1">
      <c r="A27" s="1" t="s">
        <v>240</v>
      </c>
      <c r="B27" s="53" t="s">
        <v>285</v>
      </c>
      <c r="C27" s="54"/>
      <c r="D27" s="54"/>
      <c r="E27" s="54"/>
      <c r="F27" s="54"/>
      <c r="G27" s="54"/>
      <c r="H27" s="54"/>
      <c r="I27" s="54"/>
      <c r="J27" s="54"/>
      <c r="K27" s="54"/>
      <c r="L27" s="54"/>
      <c r="M27" s="54"/>
      <c r="N27" s="54"/>
      <c r="O27" s="54"/>
      <c r="P27" s="54"/>
      <c r="Q27" s="54"/>
      <c r="R27" s="54"/>
      <c r="S27" s="54"/>
      <c r="T27" s="54"/>
      <c r="U27" s="54"/>
    </row>
    <row r="29" spans="1:21">
      <c r="C29" s="12" t="s">
        <v>249</v>
      </c>
      <c r="D29" s="12" t="s">
        <v>286</v>
      </c>
      <c r="E29" s="12" t="s">
        <v>287</v>
      </c>
      <c r="F29" s="12" t="s">
        <v>288</v>
      </c>
      <c r="G29" s="12" t="s">
        <v>289</v>
      </c>
      <c r="K29" s="3" t="s">
        <v>273</v>
      </c>
      <c r="L29" s="3" t="s">
        <v>274</v>
      </c>
      <c r="M29" s="3" t="s">
        <v>217</v>
      </c>
    </row>
    <row r="30" spans="1:21">
      <c r="C30" s="19" t="s">
        <v>290</v>
      </c>
      <c r="D30" s="20">
        <v>120</v>
      </c>
      <c r="E30" s="20">
        <v>150</v>
      </c>
      <c r="F30" s="20">
        <v>200</v>
      </c>
      <c r="G30" s="20">
        <v>180</v>
      </c>
      <c r="K30" t="s">
        <v>291</v>
      </c>
      <c r="L30" t="s">
        <v>292</v>
      </c>
      <c r="M30" cm="1">
        <f t="array" ref="M30">INDEX(C29:G33,MATCH(K30,C29:C33,0),MATCH(L30,C29:G29,0))</f>
        <v>200</v>
      </c>
    </row>
    <row r="31" spans="1:21">
      <c r="C31" s="19" t="s">
        <v>293</v>
      </c>
      <c r="D31" s="20">
        <v>100</v>
      </c>
      <c r="E31" s="20">
        <v>130</v>
      </c>
      <c r="F31" s="20">
        <v>175</v>
      </c>
      <c r="G31" s="20">
        <v>160</v>
      </c>
    </row>
    <row r="32" spans="1:21">
      <c r="C32" s="19" t="s">
        <v>294</v>
      </c>
      <c r="D32" s="20">
        <v>90</v>
      </c>
      <c r="E32" s="20">
        <v>110</v>
      </c>
      <c r="F32" s="20">
        <v>140</v>
      </c>
      <c r="G32" s="20">
        <v>125</v>
      </c>
    </row>
    <row r="33" spans="1:21">
      <c r="C33" s="19" t="s">
        <v>295</v>
      </c>
      <c r="D33" s="20">
        <v>80</v>
      </c>
      <c r="E33" s="20">
        <v>105</v>
      </c>
      <c r="F33" s="20">
        <v>155</v>
      </c>
      <c r="G33" s="20">
        <v>135</v>
      </c>
    </row>
    <row r="38" spans="1:21" ht="26.05" customHeight="1">
      <c r="A38" s="1" t="s">
        <v>246</v>
      </c>
      <c r="B38" s="53" t="s">
        <v>296</v>
      </c>
      <c r="C38" s="53"/>
      <c r="D38" s="53"/>
      <c r="E38" s="53"/>
      <c r="F38" s="53"/>
      <c r="G38" s="53"/>
      <c r="H38" s="53"/>
      <c r="I38" s="53"/>
      <c r="J38" s="53"/>
      <c r="K38" s="53"/>
      <c r="L38" s="53"/>
      <c r="M38" s="53"/>
      <c r="N38" s="53"/>
      <c r="O38" s="53"/>
      <c r="P38" s="53"/>
      <c r="Q38" s="53"/>
      <c r="R38" s="53"/>
      <c r="S38" s="53"/>
      <c r="T38" s="53"/>
      <c r="U38" s="53"/>
    </row>
  </sheetData>
  <mergeCells count="4">
    <mergeCell ref="B3:U3"/>
    <mergeCell ref="B15:U15"/>
    <mergeCell ref="B27:U27"/>
    <mergeCell ref="B38:U38"/>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U112"/>
  <sheetViews>
    <sheetView topLeftCell="A92" zoomScaleNormal="100" workbookViewId="0">
      <selection activeCell="J96" sqref="J96"/>
    </sheetView>
  </sheetViews>
  <sheetFormatPr defaultColWidth="9.140625" defaultRowHeight="14.3"/>
  <cols>
    <col min="3" max="3" width="10.42578125" customWidth="1"/>
    <col min="4" max="4" width="24.85546875" customWidth="1"/>
    <col min="5" max="5" width="29" customWidth="1"/>
    <col min="6" max="9" width="15.85546875" customWidth="1"/>
  </cols>
  <sheetData>
    <row r="3" spans="1:21">
      <c r="A3" s="1" t="s">
        <v>0</v>
      </c>
      <c r="B3" s="54" t="s">
        <v>297</v>
      </c>
      <c r="C3" s="54"/>
      <c r="D3" s="54"/>
      <c r="E3" s="54"/>
      <c r="F3" s="54"/>
      <c r="G3" s="54"/>
      <c r="H3" s="54"/>
      <c r="I3" s="54"/>
      <c r="J3" s="54"/>
      <c r="K3" s="54"/>
      <c r="L3" s="54"/>
      <c r="M3" s="54"/>
      <c r="N3" s="54"/>
      <c r="O3" s="54"/>
      <c r="P3" s="54"/>
      <c r="Q3" s="54"/>
      <c r="R3" s="54"/>
      <c r="S3" s="54"/>
      <c r="T3" s="54"/>
      <c r="U3" s="54"/>
    </row>
    <row r="5" spans="1:21">
      <c r="C5" s="3" t="s">
        <v>248</v>
      </c>
      <c r="D5" s="3" t="s">
        <v>249</v>
      </c>
      <c r="E5" s="3" t="s">
        <v>250</v>
      </c>
    </row>
    <row r="6" spans="1:21">
      <c r="C6" s="4">
        <v>1</v>
      </c>
      <c r="D6" s="5" t="s">
        <v>290</v>
      </c>
      <c r="E6" s="5" t="s">
        <v>24</v>
      </c>
    </row>
    <row r="7" spans="1:21">
      <c r="C7" s="4">
        <v>2</v>
      </c>
      <c r="D7" s="5" t="s">
        <v>254</v>
      </c>
      <c r="E7" s="5" t="s">
        <v>24</v>
      </c>
    </row>
    <row r="8" spans="1:21">
      <c r="C8" s="4">
        <v>3</v>
      </c>
      <c r="D8" s="5" t="s">
        <v>295</v>
      </c>
      <c r="E8" s="5" t="s">
        <v>24</v>
      </c>
    </row>
    <row r="9" spans="1:21">
      <c r="C9" s="4">
        <v>4</v>
      </c>
      <c r="D9" s="5" t="s">
        <v>293</v>
      </c>
      <c r="E9" s="5" t="s">
        <v>24</v>
      </c>
    </row>
    <row r="10" spans="1:21">
      <c r="C10" s="4">
        <v>5</v>
      </c>
      <c r="D10" s="5" t="s">
        <v>298</v>
      </c>
      <c r="E10" s="5" t="s">
        <v>299</v>
      </c>
    </row>
    <row r="11" spans="1:21">
      <c r="C11" s="4">
        <v>6</v>
      </c>
      <c r="D11" s="5" t="s">
        <v>290</v>
      </c>
      <c r="E11" s="5" t="s">
        <v>25</v>
      </c>
    </row>
    <row r="12" spans="1:21">
      <c r="C12" s="4">
        <v>7</v>
      </c>
      <c r="D12" s="5" t="s">
        <v>294</v>
      </c>
      <c r="E12" s="5" t="s">
        <v>300</v>
      </c>
    </row>
    <row r="13" spans="1:21">
      <c r="C13" s="4">
        <v>8</v>
      </c>
      <c r="D13" s="5" t="s">
        <v>301</v>
      </c>
      <c r="E13" s="5" t="s">
        <v>24</v>
      </c>
    </row>
    <row r="14" spans="1:21">
      <c r="C14" s="4">
        <v>9</v>
      </c>
      <c r="D14" s="5" t="s">
        <v>302</v>
      </c>
      <c r="E14" s="5" t="s">
        <v>303</v>
      </c>
    </row>
    <row r="15" spans="1:21">
      <c r="C15" s="4">
        <v>10</v>
      </c>
      <c r="D15" s="5" t="s">
        <v>304</v>
      </c>
      <c r="E15" s="5" t="s">
        <v>305</v>
      </c>
    </row>
    <row r="16" spans="1:21">
      <c r="C16" s="4">
        <v>11</v>
      </c>
      <c r="D16" s="5" t="s">
        <v>306</v>
      </c>
      <c r="E16" s="5" t="s">
        <v>24</v>
      </c>
    </row>
    <row r="17" spans="1:21">
      <c r="C17" s="4">
        <v>12</v>
      </c>
      <c r="D17" s="5" t="s">
        <v>307</v>
      </c>
      <c r="E17" s="5" t="s">
        <v>24</v>
      </c>
    </row>
    <row r="18" spans="1:21">
      <c r="C18" s="4">
        <v>13</v>
      </c>
      <c r="D18" s="5" t="s">
        <v>290</v>
      </c>
      <c r="E18" s="5" t="s">
        <v>308</v>
      </c>
    </row>
    <row r="19" spans="1:21">
      <c r="C19" s="4">
        <v>14</v>
      </c>
      <c r="D19" s="5" t="s">
        <v>309</v>
      </c>
      <c r="E19" s="5" t="s">
        <v>24</v>
      </c>
    </row>
    <row r="20" spans="1:21">
      <c r="C20" s="4">
        <v>15</v>
      </c>
      <c r="D20" s="5" t="s">
        <v>310</v>
      </c>
      <c r="E20" s="5" t="s">
        <v>311</v>
      </c>
    </row>
    <row r="21" spans="1:21">
      <c r="C21" s="4">
        <v>16</v>
      </c>
      <c r="D21" s="5" t="s">
        <v>312</v>
      </c>
      <c r="E21" s="5" t="s">
        <v>313</v>
      </c>
    </row>
    <row r="22" spans="1:21">
      <c r="C22" s="4">
        <v>17</v>
      </c>
      <c r="D22" s="5" t="s">
        <v>314</v>
      </c>
      <c r="E22" s="5" t="s">
        <v>315</v>
      </c>
    </row>
    <row r="23" spans="1:21">
      <c r="C23" s="4">
        <v>18</v>
      </c>
      <c r="D23" s="5" t="s">
        <v>316</v>
      </c>
      <c r="E23" s="5" t="s">
        <v>317</v>
      </c>
    </row>
    <row r="24" spans="1:21">
      <c r="C24" s="4">
        <v>19</v>
      </c>
      <c r="D24" s="5" t="s">
        <v>318</v>
      </c>
      <c r="E24" s="5" t="s">
        <v>317</v>
      </c>
    </row>
    <row r="25" spans="1:21">
      <c r="C25" s="4">
        <v>20</v>
      </c>
      <c r="D25" s="5" t="s">
        <v>316</v>
      </c>
      <c r="E25" s="5" t="s">
        <v>317</v>
      </c>
    </row>
    <row r="26" spans="1:21">
      <c r="C26" s="4">
        <v>21</v>
      </c>
      <c r="D26" s="5" t="s">
        <v>319</v>
      </c>
      <c r="E26" s="5" t="s">
        <v>320</v>
      </c>
    </row>
    <row r="27" spans="1:21">
      <c r="C27" s="4">
        <v>22</v>
      </c>
      <c r="D27" s="5" t="s">
        <v>321</v>
      </c>
      <c r="E27" s="5" t="s">
        <v>322</v>
      </c>
    </row>
    <row r="31" spans="1:21">
      <c r="A31" s="1" t="s">
        <v>9</v>
      </c>
      <c r="B31" s="54" t="s">
        <v>323</v>
      </c>
      <c r="C31" s="54"/>
      <c r="D31" s="54"/>
      <c r="E31" s="54"/>
      <c r="F31" s="54"/>
      <c r="G31" s="54"/>
      <c r="H31" s="54"/>
      <c r="I31" s="54"/>
      <c r="J31" s="54"/>
      <c r="K31" s="54"/>
      <c r="L31" s="54"/>
      <c r="M31" s="54"/>
      <c r="N31" s="54"/>
      <c r="O31" s="54"/>
      <c r="P31" s="54"/>
      <c r="Q31" s="54"/>
      <c r="R31" s="54"/>
      <c r="S31" s="54"/>
      <c r="T31" s="54"/>
      <c r="U31" s="54"/>
    </row>
    <row r="34" spans="3:5">
      <c r="C34" s="3" t="s">
        <v>248</v>
      </c>
      <c r="D34" s="3" t="s">
        <v>324</v>
      </c>
      <c r="E34" s="3" t="s">
        <v>59</v>
      </c>
    </row>
    <row r="35" spans="3:5">
      <c r="C35" s="4">
        <v>1</v>
      </c>
      <c r="D35" s="4" t="s">
        <v>62</v>
      </c>
      <c r="E35" s="4">
        <v>250</v>
      </c>
    </row>
    <row r="36" spans="3:5">
      <c r="C36" s="4">
        <v>2</v>
      </c>
      <c r="D36" s="4" t="s">
        <v>65</v>
      </c>
      <c r="E36" s="4">
        <v>350</v>
      </c>
    </row>
    <row r="37" spans="3:5">
      <c r="C37" s="4">
        <v>3</v>
      </c>
      <c r="D37" s="4" t="s">
        <v>71</v>
      </c>
      <c r="E37" s="4">
        <v>45000</v>
      </c>
    </row>
    <row r="38" spans="3:5">
      <c r="C38" s="4">
        <v>4</v>
      </c>
      <c r="D38" s="4" t="s">
        <v>209</v>
      </c>
      <c r="E38" s="4">
        <v>25000</v>
      </c>
    </row>
    <row r="39" spans="3:5">
      <c r="C39" s="4">
        <v>5</v>
      </c>
      <c r="D39" s="4" t="s">
        <v>68</v>
      </c>
      <c r="E39" s="4">
        <v>1999</v>
      </c>
    </row>
    <row r="40" spans="3:5">
      <c r="C40" s="4">
        <v>6</v>
      </c>
      <c r="D40" s="4" t="s">
        <v>67</v>
      </c>
      <c r="E40" s="4">
        <v>28000</v>
      </c>
    </row>
    <row r="41" spans="3:5">
      <c r="C41" s="4">
        <v>7</v>
      </c>
      <c r="D41" s="4" t="s">
        <v>72</v>
      </c>
      <c r="E41" s="4">
        <v>25000</v>
      </c>
    </row>
    <row r="42" spans="3:5">
      <c r="C42" s="4">
        <v>8</v>
      </c>
      <c r="D42" s="4" t="s">
        <v>325</v>
      </c>
      <c r="E42" s="4">
        <v>18000</v>
      </c>
    </row>
    <row r="43" spans="3:5">
      <c r="C43" s="4">
        <v>9</v>
      </c>
      <c r="D43" s="4" t="s">
        <v>245</v>
      </c>
      <c r="E43" s="4">
        <v>150</v>
      </c>
    </row>
    <row r="44" spans="3:5">
      <c r="C44" s="4">
        <v>10</v>
      </c>
      <c r="D44" s="4" t="s">
        <v>326</v>
      </c>
      <c r="E44" s="4">
        <v>500</v>
      </c>
    </row>
    <row r="45" spans="3:5">
      <c r="C45" s="4">
        <v>11</v>
      </c>
      <c r="D45" s="4" t="s">
        <v>211</v>
      </c>
      <c r="E45" s="4">
        <v>5000</v>
      </c>
    </row>
    <row r="46" spans="3:5">
      <c r="C46" s="4">
        <v>12</v>
      </c>
      <c r="D46" s="4" t="s">
        <v>327</v>
      </c>
      <c r="E46" s="4">
        <v>8000</v>
      </c>
    </row>
    <row r="47" spans="3:5">
      <c r="C47" s="4">
        <v>13</v>
      </c>
      <c r="D47" s="4" t="s">
        <v>328</v>
      </c>
      <c r="E47" s="4">
        <v>25000</v>
      </c>
    </row>
    <row r="51" spans="1:21" ht="24.95" customHeight="1">
      <c r="A51" s="1" t="s">
        <v>21</v>
      </c>
      <c r="B51" s="53" t="s">
        <v>329</v>
      </c>
      <c r="C51" s="53"/>
      <c r="D51" s="53"/>
      <c r="E51" s="53"/>
      <c r="F51" s="53"/>
      <c r="G51" s="53"/>
      <c r="H51" s="53"/>
      <c r="I51" s="53"/>
      <c r="J51" s="53"/>
      <c r="K51" s="53"/>
      <c r="L51" s="53"/>
      <c r="M51" s="53"/>
      <c r="N51" s="53"/>
      <c r="O51" s="53"/>
      <c r="P51" s="53"/>
      <c r="Q51" s="53"/>
      <c r="R51" s="53"/>
      <c r="S51" s="53"/>
      <c r="T51" s="53"/>
      <c r="U51" s="53"/>
    </row>
    <row r="54" spans="1:21">
      <c r="C54" s="7" t="s">
        <v>330</v>
      </c>
      <c r="D54" s="7" t="s">
        <v>331</v>
      </c>
      <c r="E54" s="7" t="s">
        <v>205</v>
      </c>
      <c r="F54" s="7" t="s">
        <v>332</v>
      </c>
    </row>
    <row r="55" spans="1:21">
      <c r="C55" s="8">
        <v>1</v>
      </c>
      <c r="D55" s="8" t="s">
        <v>333</v>
      </c>
      <c r="E55" s="9">
        <v>46264</v>
      </c>
      <c r="F55" s="8">
        <v>5</v>
      </c>
    </row>
    <row r="56" spans="1:21">
      <c r="C56" s="8">
        <v>2</v>
      </c>
      <c r="D56" s="8" t="s">
        <v>334</v>
      </c>
      <c r="E56" s="9">
        <v>46261</v>
      </c>
      <c r="F56" s="8">
        <v>4</v>
      </c>
    </row>
    <row r="57" spans="1:21">
      <c r="C57" s="8">
        <v>3</v>
      </c>
      <c r="D57" s="8" t="s">
        <v>335</v>
      </c>
      <c r="E57" s="9">
        <v>46258</v>
      </c>
      <c r="F57" s="8">
        <v>0</v>
      </c>
    </row>
    <row r="58" spans="1:21">
      <c r="C58" s="8">
        <v>4</v>
      </c>
      <c r="D58" s="8" t="s">
        <v>336</v>
      </c>
      <c r="E58" s="9">
        <v>46255</v>
      </c>
      <c r="F58" s="8">
        <v>5</v>
      </c>
    </row>
    <row r="59" spans="1:21">
      <c r="C59" s="8">
        <v>5</v>
      </c>
      <c r="D59" s="8" t="s">
        <v>337</v>
      </c>
      <c r="E59" s="9">
        <v>46252</v>
      </c>
      <c r="F59" s="8">
        <v>3</v>
      </c>
    </row>
    <row r="60" spans="1:21">
      <c r="C60" s="8">
        <v>6</v>
      </c>
      <c r="D60" s="8" t="s">
        <v>338</v>
      </c>
      <c r="E60" s="9">
        <v>46249</v>
      </c>
      <c r="F60" s="8">
        <v>4</v>
      </c>
    </row>
    <row r="61" spans="1:21">
      <c r="C61" s="8">
        <v>7</v>
      </c>
      <c r="D61" s="8" t="s">
        <v>339</v>
      </c>
      <c r="E61" s="9">
        <v>46246</v>
      </c>
      <c r="F61" s="8">
        <v>5</v>
      </c>
    </row>
    <row r="62" spans="1:21">
      <c r="C62" s="8">
        <v>8</v>
      </c>
      <c r="D62" s="8" t="s">
        <v>340</v>
      </c>
      <c r="E62" s="9">
        <v>46243</v>
      </c>
      <c r="F62" s="8">
        <v>4</v>
      </c>
    </row>
    <row r="63" spans="1:21">
      <c r="C63" s="8">
        <v>9</v>
      </c>
      <c r="D63" s="8" t="s">
        <v>341</v>
      </c>
      <c r="E63" s="9">
        <v>46240</v>
      </c>
      <c r="F63" s="8">
        <v>3</v>
      </c>
    </row>
    <row r="64" spans="1:21">
      <c r="C64" s="8">
        <v>10</v>
      </c>
      <c r="D64" s="8" t="s">
        <v>342</v>
      </c>
      <c r="E64" s="9">
        <v>46237</v>
      </c>
      <c r="F64" s="8">
        <v>5</v>
      </c>
    </row>
    <row r="65" spans="1:21">
      <c r="C65" s="8">
        <v>11</v>
      </c>
      <c r="D65" s="8" t="s">
        <v>343</v>
      </c>
      <c r="E65" s="9">
        <v>46234</v>
      </c>
      <c r="F65" s="8">
        <v>2</v>
      </c>
    </row>
    <row r="66" spans="1:21">
      <c r="C66" s="8">
        <v>12</v>
      </c>
      <c r="D66" s="8" t="s">
        <v>344</v>
      </c>
      <c r="E66" s="9">
        <v>46231</v>
      </c>
      <c r="F66" s="8">
        <v>4</v>
      </c>
    </row>
    <row r="67" spans="1:21">
      <c r="C67" s="8">
        <v>13</v>
      </c>
      <c r="D67" s="8" t="s">
        <v>345</v>
      </c>
      <c r="E67" s="9">
        <v>46228</v>
      </c>
      <c r="F67" s="8">
        <v>3</v>
      </c>
    </row>
    <row r="68" spans="1:21">
      <c r="C68" s="8">
        <v>14</v>
      </c>
      <c r="D68" s="8" t="s">
        <v>346</v>
      </c>
      <c r="E68" s="9">
        <v>46225</v>
      </c>
      <c r="F68" s="8">
        <v>5</v>
      </c>
    </row>
    <row r="69" spans="1:21">
      <c r="C69" s="8">
        <v>15</v>
      </c>
      <c r="D69" s="8" t="s">
        <v>347</v>
      </c>
      <c r="E69" s="9">
        <v>46222</v>
      </c>
      <c r="F69" s="8">
        <v>1</v>
      </c>
    </row>
    <row r="74" spans="1:21">
      <c r="A74" s="1" t="s">
        <v>29</v>
      </c>
      <c r="B74" s="54" t="s">
        <v>348</v>
      </c>
      <c r="C74" s="54"/>
      <c r="D74" s="54"/>
      <c r="E74" s="54"/>
      <c r="F74" s="54"/>
      <c r="G74" s="54"/>
      <c r="H74" s="54"/>
      <c r="I74" s="54"/>
      <c r="J74" s="54"/>
      <c r="K74" s="54"/>
      <c r="L74" s="54"/>
      <c r="M74" s="54"/>
      <c r="N74" s="54"/>
      <c r="O74" s="54"/>
      <c r="P74" s="54"/>
      <c r="Q74" s="54"/>
      <c r="R74" s="54"/>
      <c r="S74" s="54"/>
      <c r="T74" s="54"/>
      <c r="U74" s="54"/>
    </row>
    <row r="76" spans="1:21">
      <c r="C76" s="3" t="s">
        <v>248</v>
      </c>
      <c r="D76" s="10" t="s">
        <v>227</v>
      </c>
      <c r="E76" s="10" t="s">
        <v>349</v>
      </c>
      <c r="F76" s="10" t="s">
        <v>350</v>
      </c>
    </row>
    <row r="77" spans="1:21">
      <c r="C77" s="4">
        <v>1</v>
      </c>
      <c r="D77" s="11" t="s">
        <v>233</v>
      </c>
      <c r="E77" s="11" t="s">
        <v>351</v>
      </c>
      <c r="F77" s="11">
        <v>5162</v>
      </c>
    </row>
    <row r="78" spans="1:21">
      <c r="C78" s="4">
        <v>2</v>
      </c>
      <c r="D78" s="11" t="s">
        <v>352</v>
      </c>
      <c r="E78" s="11" t="s">
        <v>353</v>
      </c>
      <c r="F78" s="11">
        <v>4842</v>
      </c>
    </row>
    <row r="79" spans="1:21">
      <c r="C79" s="4">
        <v>3</v>
      </c>
      <c r="D79" s="11" t="s">
        <v>238</v>
      </c>
      <c r="E79" s="11" t="s">
        <v>354</v>
      </c>
      <c r="F79" s="11">
        <v>7046</v>
      </c>
    </row>
    <row r="80" spans="1:21">
      <c r="C80" s="4">
        <v>4</v>
      </c>
      <c r="D80" s="11" t="s">
        <v>355</v>
      </c>
      <c r="E80" s="11" t="s">
        <v>356</v>
      </c>
      <c r="F80" s="11">
        <v>6565</v>
      </c>
    </row>
    <row r="81" spans="3:6">
      <c r="C81" s="4">
        <v>5</v>
      </c>
      <c r="D81" s="11" t="s">
        <v>357</v>
      </c>
      <c r="E81" s="11" t="s">
        <v>358</v>
      </c>
      <c r="F81" s="11">
        <v>5528</v>
      </c>
    </row>
    <row r="82" spans="3:6">
      <c r="C82" s="4">
        <v>6</v>
      </c>
      <c r="D82" s="11" t="s">
        <v>359</v>
      </c>
      <c r="E82" s="11" t="s">
        <v>351</v>
      </c>
      <c r="F82" s="11">
        <v>8661</v>
      </c>
    </row>
    <row r="83" spans="3:6">
      <c r="C83" s="4">
        <v>7</v>
      </c>
      <c r="D83" s="11" t="s">
        <v>360</v>
      </c>
      <c r="E83" s="11" t="s">
        <v>358</v>
      </c>
      <c r="F83" s="11">
        <v>5243</v>
      </c>
    </row>
    <row r="84" spans="3:6">
      <c r="C84" s="4">
        <v>8</v>
      </c>
      <c r="D84" s="11" t="s">
        <v>361</v>
      </c>
      <c r="E84" s="11" t="s">
        <v>353</v>
      </c>
      <c r="F84" s="11">
        <v>4965</v>
      </c>
    </row>
    <row r="85" spans="3:6">
      <c r="C85" s="4">
        <v>9</v>
      </c>
      <c r="D85" s="11" t="s">
        <v>362</v>
      </c>
      <c r="E85" s="11" t="s">
        <v>358</v>
      </c>
      <c r="F85" s="11">
        <v>4952</v>
      </c>
    </row>
    <row r="86" spans="3:6">
      <c r="C86" s="4">
        <v>10</v>
      </c>
      <c r="D86" s="11" t="s">
        <v>363</v>
      </c>
      <c r="E86" s="11" t="s">
        <v>351</v>
      </c>
      <c r="F86" s="11">
        <v>6769</v>
      </c>
    </row>
    <row r="87" spans="3:6">
      <c r="C87" s="4">
        <v>11</v>
      </c>
      <c r="D87" s="11" t="s">
        <v>364</v>
      </c>
      <c r="E87" s="11" t="s">
        <v>365</v>
      </c>
      <c r="F87" s="11">
        <v>4642</v>
      </c>
    </row>
    <row r="88" spans="3:6">
      <c r="C88" s="4">
        <v>12</v>
      </c>
      <c r="D88" s="11" t="s">
        <v>366</v>
      </c>
      <c r="E88" s="11" t="s">
        <v>358</v>
      </c>
      <c r="F88" s="11">
        <v>4348</v>
      </c>
    </row>
    <row r="89" spans="3:6">
      <c r="C89" s="4">
        <v>13</v>
      </c>
      <c r="D89" s="11" t="s">
        <v>367</v>
      </c>
      <c r="E89" s="11" t="s">
        <v>368</v>
      </c>
      <c r="F89" s="11">
        <v>4419</v>
      </c>
    </row>
    <row r="90" spans="3:6">
      <c r="C90" s="4">
        <v>14</v>
      </c>
      <c r="D90" s="11" t="s">
        <v>369</v>
      </c>
      <c r="E90" s="11" t="s">
        <v>365</v>
      </c>
      <c r="F90" s="11">
        <v>4217</v>
      </c>
    </row>
    <row r="91" spans="3:6">
      <c r="C91" s="4">
        <v>15</v>
      </c>
      <c r="D91" s="11" t="s">
        <v>370</v>
      </c>
      <c r="E91" s="11" t="s">
        <v>351</v>
      </c>
      <c r="F91" s="11">
        <v>4681</v>
      </c>
    </row>
    <row r="92" spans="3:6">
      <c r="C92" s="4">
        <v>16</v>
      </c>
      <c r="D92" s="11" t="s">
        <v>371</v>
      </c>
      <c r="E92" s="11" t="s">
        <v>356</v>
      </c>
      <c r="F92" s="11">
        <v>5227</v>
      </c>
    </row>
    <row r="93" spans="3:6">
      <c r="C93" s="4">
        <v>17</v>
      </c>
      <c r="D93" s="11" t="s">
        <v>372</v>
      </c>
      <c r="E93" s="11" t="s">
        <v>358</v>
      </c>
      <c r="F93" s="11">
        <v>2380</v>
      </c>
    </row>
    <row r="94" spans="3:6">
      <c r="C94" s="4">
        <v>18</v>
      </c>
      <c r="D94" s="11" t="s">
        <v>373</v>
      </c>
      <c r="E94" s="11" t="s">
        <v>374</v>
      </c>
      <c r="F94" s="11">
        <v>3834</v>
      </c>
    </row>
    <row r="95" spans="3:6">
      <c r="C95" s="4">
        <v>19</v>
      </c>
      <c r="D95" s="11" t="s">
        <v>375</v>
      </c>
      <c r="E95" s="11" t="s">
        <v>354</v>
      </c>
      <c r="F95" s="11">
        <v>3594</v>
      </c>
    </row>
    <row r="96" spans="3:6">
      <c r="C96" s="4">
        <v>20</v>
      </c>
      <c r="D96" s="11" t="s">
        <v>376</v>
      </c>
      <c r="E96" s="11" t="s">
        <v>368</v>
      </c>
      <c r="F96" s="11">
        <v>1872</v>
      </c>
    </row>
    <row r="102" spans="1:21" ht="29.05" customHeight="1">
      <c r="A102" s="1" t="s">
        <v>31</v>
      </c>
      <c r="B102" s="53" t="s">
        <v>377</v>
      </c>
      <c r="C102" s="53"/>
      <c r="D102" s="53"/>
      <c r="E102" s="53"/>
      <c r="F102" s="53"/>
      <c r="G102" s="53"/>
      <c r="H102" s="53"/>
      <c r="I102" s="53"/>
      <c r="J102" s="53"/>
      <c r="K102" s="53"/>
      <c r="L102" s="53"/>
      <c r="M102" s="53"/>
      <c r="N102" s="53"/>
      <c r="O102" s="53"/>
      <c r="P102" s="53"/>
      <c r="Q102" s="53"/>
      <c r="R102" s="53"/>
      <c r="S102" s="53"/>
      <c r="T102" s="53"/>
      <c r="U102" s="53"/>
    </row>
    <row r="106" spans="1:21" ht="16.95" customHeight="1">
      <c r="C106" s="12" t="s">
        <v>378</v>
      </c>
      <c r="D106" s="12" t="s">
        <v>379</v>
      </c>
      <c r="E106" s="12" t="s">
        <v>380</v>
      </c>
      <c r="F106" s="12" t="s">
        <v>381</v>
      </c>
      <c r="G106" s="12" t="s">
        <v>382</v>
      </c>
      <c r="H106" s="12" t="s">
        <v>383</v>
      </c>
      <c r="I106" s="12" t="s">
        <v>384</v>
      </c>
    </row>
    <row r="107" spans="1:21">
      <c r="C107" s="13" t="s">
        <v>286</v>
      </c>
      <c r="D107" s="14">
        <v>4500</v>
      </c>
      <c r="E107" s="14">
        <v>5000</v>
      </c>
      <c r="F107" s="14">
        <v>3200</v>
      </c>
      <c r="G107" s="14">
        <v>4000</v>
      </c>
      <c r="H107" s="14">
        <v>2100</v>
      </c>
      <c r="I107" s="14">
        <v>2500</v>
      </c>
    </row>
    <row r="108" spans="1:21">
      <c r="C108" s="13" t="s">
        <v>287</v>
      </c>
      <c r="D108" s="14">
        <v>3800</v>
      </c>
      <c r="E108" s="14">
        <v>5000</v>
      </c>
      <c r="F108" s="14">
        <v>2900</v>
      </c>
      <c r="G108" s="14">
        <v>4000</v>
      </c>
      <c r="H108" s="14">
        <v>1850</v>
      </c>
      <c r="I108" s="14">
        <v>2500</v>
      </c>
    </row>
    <row r="109" spans="1:21">
      <c r="C109" s="13" t="s">
        <v>288</v>
      </c>
      <c r="D109" s="14">
        <v>5200</v>
      </c>
      <c r="E109" s="14">
        <v>5000</v>
      </c>
      <c r="F109" s="14">
        <v>4100</v>
      </c>
      <c r="G109" s="14">
        <v>4000</v>
      </c>
      <c r="H109" s="14">
        <v>2400</v>
      </c>
      <c r="I109" s="14">
        <v>2500</v>
      </c>
    </row>
    <row r="110" spans="1:21">
      <c r="C110" s="13" t="s">
        <v>289</v>
      </c>
      <c r="D110" s="14">
        <v>4100</v>
      </c>
      <c r="E110" s="14">
        <v>5000</v>
      </c>
      <c r="F110" s="14">
        <v>3500</v>
      </c>
      <c r="G110" s="14">
        <v>4000</v>
      </c>
      <c r="H110" s="14">
        <v>2000</v>
      </c>
      <c r="I110" s="14">
        <v>2500</v>
      </c>
    </row>
    <row r="111" spans="1:21">
      <c r="C111" s="13" t="s">
        <v>385</v>
      </c>
      <c r="D111" s="14">
        <v>4750</v>
      </c>
      <c r="E111" s="14">
        <v>5000</v>
      </c>
      <c r="F111" s="14">
        <v>3800</v>
      </c>
      <c r="G111" s="14">
        <v>4000</v>
      </c>
      <c r="H111" s="14">
        <v>2250</v>
      </c>
      <c r="I111" s="14">
        <v>2500</v>
      </c>
    </row>
    <row r="112" spans="1:21">
      <c r="C112" s="13" t="s">
        <v>386</v>
      </c>
      <c r="D112" s="14">
        <v>5400</v>
      </c>
      <c r="E112" s="14">
        <v>5000</v>
      </c>
      <c r="F112" s="14">
        <v>4300</v>
      </c>
      <c r="G112" s="14">
        <v>4000</v>
      </c>
      <c r="H112" s="14">
        <v>2700</v>
      </c>
      <c r="I112" s="14">
        <v>2500</v>
      </c>
    </row>
  </sheetData>
  <mergeCells count="5">
    <mergeCell ref="B3:U3"/>
    <mergeCell ref="B31:U31"/>
    <mergeCell ref="B51:U51"/>
    <mergeCell ref="B74:U74"/>
    <mergeCell ref="B102:U102"/>
  </mergeCells>
  <conditionalFormatting sqref="D6:D27">
    <cfRule type="duplicateValues" dxfId="2" priority="5"/>
  </conditionalFormatting>
  <conditionalFormatting sqref="E35:E47">
    <cfRule type="colorScale" priority="4">
      <colorScale>
        <cfvo type="min"/>
        <cfvo type="percentile" val="50"/>
        <cfvo type="max"/>
        <color rgb="FFF8696B"/>
        <color rgb="FFFFEB84"/>
        <color rgb="FF63BE7B"/>
      </colorScale>
    </cfRule>
  </conditionalFormatting>
  <conditionalFormatting sqref="F55:F69">
    <cfRule type="iconSet" priority="3">
      <iconSet>
        <cfvo type="percent" val="0"/>
        <cfvo type="num" val="3"/>
        <cfvo type="num" val="4"/>
      </iconSet>
    </cfRule>
  </conditionalFormatting>
  <conditionalFormatting sqref="F77:F96">
    <cfRule type="top10" dxfId="1" priority="2" rank="3"/>
    <cfRule type="top10" dxfId="0" priority="1" bottom="1" rank="3"/>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Session - 2</vt:lpstr>
      <vt:lpstr>Session - 4</vt:lpstr>
      <vt:lpstr>Session - 5</vt:lpstr>
      <vt:lpstr>Session - 6</vt:lpstr>
      <vt:lpstr>Session - 7</vt:lpstr>
      <vt:lpstr>Session - 8</vt:lpstr>
      <vt:lpstr>Session - 9</vt:lpstr>
      <vt:lpstr>Session - 11</vt:lpstr>
      <vt:lpstr>Session - 12</vt:lpstr>
      <vt:lpstr>'Session - 4'!Criteria</vt:lpstr>
      <vt:lpstr>'Session - 4'!Extract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dilip pawar</cp:lastModifiedBy>
  <dcterms:created xsi:type="dcterms:W3CDTF">2026-08-30T09:17:00Z</dcterms:created>
  <dcterms:modified xsi:type="dcterms:W3CDTF">2026-09-09T11:48:42Z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9FC16E1811A24216B6613667752FB801_11</vt:lpwstr>
  </property>
  <property fmtid="{D5CDD505-2E9C-101B-9397-08002B2CF9AE}" pid="3" name="KSOProductBuildVer">
    <vt:lpwstr>1033-12.1.0.28032</vt:lpwstr>
  </property>
  <property fmtid="{D5CDD505-2E9C-101B-9397-08002B2CF9AE}" pid="4" name="CalculationRule">
    <vt:i4>1</vt:i4>
  </property>
</Properties>
</file>