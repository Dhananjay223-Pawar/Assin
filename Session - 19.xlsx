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a33403e70c3ed1/Desktop/Data Analyst course/Session File/"/>
    </mc:Choice>
  </mc:AlternateContent>
  <xr:revisionPtr revIDLastSave="66" documentId="8_{2563A14F-7CEC-4A03-86A3-CBA0F2C3B74C}" xr6:coauthVersionLast="47" xr6:coauthVersionMax="47" xr10:uidLastSave="{36CBF55B-F433-434E-9BD1-36109F81BBED}"/>
  <bookViews>
    <workbookView xWindow="-114" yWindow="-114" windowWidth="27602" windowHeight="14927" activeTab="1" xr2:uid="{984B49C9-60A5-4F2A-B94F-0758A257167D}"/>
  </bookViews>
  <sheets>
    <sheet name="Sheet1" sheetId="1" r:id="rId1"/>
    <sheet name="Pivote Table" sheetId="4" r:id="rId2"/>
    <sheet name="Sheet2" sheetId="8" r:id="rId3"/>
  </sheets>
  <definedNames>
    <definedName name="_xlchart.v1.0" hidden="1">'Pivote Table'!$I$18:$I$26</definedName>
    <definedName name="_xlchart.v1.1" hidden="1">'Pivote Table'!$J$17</definedName>
    <definedName name="_xlchart.v1.2" hidden="1">'Pivote Table'!$J$18:$J$26</definedName>
    <definedName name="_xlchart.v1.3" hidden="1">'Pivote Table'!$I$18:$I$26</definedName>
    <definedName name="_xlchart.v1.4" hidden="1">'Pivote Table'!$J$17</definedName>
    <definedName name="_xlchart.v1.5" hidden="1">'Pivote Table'!$J$18:$J$26</definedName>
  </definedNames>
  <calcPr calcId="191029" iterate="1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4" l="1" a="1"/>
  <c r="J19" i="4" s="1"/>
  <c r="J20" i="4" a="1"/>
  <c r="J20" i="4" s="1"/>
  <c r="J21" i="4" a="1"/>
  <c r="J21" i="4" s="1"/>
  <c r="J22" i="4" a="1"/>
  <c r="J22" i="4" s="1"/>
  <c r="J23" i="4" a="1"/>
  <c r="J23" i="4" s="1"/>
  <c r="J24" i="4" a="1"/>
  <c r="J24" i="4" s="1"/>
  <c r="J25" i="4" a="1"/>
  <c r="J25" i="4" s="1"/>
  <c r="J26" i="4" a="1"/>
  <c r="J26" i="4" s="1"/>
  <c r="J18" i="4" a="1"/>
  <c r="J18" i="4" s="1"/>
  <c r="I18" i="4" a="1"/>
  <c r="I18" i="4" s="1"/>
  <c r="H10" i="1"/>
  <c r="G4" i="4" a="1"/>
  <c r="G4" i="4" s="1"/>
  <c r="K4" i="4" a="1"/>
  <c r="K4" i="4" s="1"/>
  <c r="J4" i="4" a="1"/>
  <c r="J4" i="4" s="1"/>
  <c r="I4" i="4" a="1"/>
  <c r="I4" i="4" s="1"/>
  <c r="H4" i="4" a="1"/>
  <c r="H4" i="4" s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H2" i="1"/>
  <c r="H3" i="1"/>
  <c r="H4" i="1"/>
  <c r="H5" i="1"/>
  <c r="H6" i="1"/>
  <c r="H7" i="1"/>
  <c r="H8" i="1"/>
  <c r="H9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T7" i="4"/>
  <c r="O7" i="4"/>
  <c r="X7" i="4"/>
  <c r="B6" i="8"/>
  <c r="H6" i="8"/>
  <c r="E6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<sst xmlns="http://schemas.openxmlformats.org/spreadsheetml/2006/main" count="334" uniqueCount="130">
  <si>
    <t>Order ID</t>
  </si>
  <si>
    <t>Month</t>
  </si>
  <si>
    <t>Cuisine</t>
  </si>
  <si>
    <t>ORD1001</t>
  </si>
  <si>
    <t>Jan</t>
  </si>
  <si>
    <t>Mexican</t>
  </si>
  <si>
    <t>ORD1002</t>
  </si>
  <si>
    <t>Italian</t>
  </si>
  <si>
    <t>ORD1003</t>
  </si>
  <si>
    <t>ORD1004</t>
  </si>
  <si>
    <t>ORD1005</t>
  </si>
  <si>
    <t>Chinese</t>
  </si>
  <si>
    <t>ORD1006</t>
  </si>
  <si>
    <t>ORD1007</t>
  </si>
  <si>
    <t>Indian</t>
  </si>
  <si>
    <t>ORD1008</t>
  </si>
  <si>
    <t>ORD1009</t>
  </si>
  <si>
    <t>ORD1010</t>
  </si>
  <si>
    <t>ORD1011</t>
  </si>
  <si>
    <t>Feb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</si>
  <si>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</si>
  <si>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</si>
  <si>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</si>
  <si>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</si>
  <si>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</si>
  <si>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</si>
  <si>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</si>
  <si>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</si>
  <si>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</si>
  <si>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</si>
  <si>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Mar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</si>
  <si>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</si>
  <si>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</si>
  <si>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</si>
  <si>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</si>
  <si>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</si>
  <si>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</si>
  <si>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</si>
  <si>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</si>
  <si>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</si>
  <si>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</si>
  <si>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Apr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</si>
  <si>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</si>
  <si>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</si>
  <si>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</si>
  <si>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</si>
  <si>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</si>
  <si>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</si>
  <si>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</si>
  <si>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</si>
  <si>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</si>
  <si>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</si>
  <si>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May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</si>
  <si>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</si>
  <si>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</si>
  <si>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</si>
  <si>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</si>
  <si>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</si>
  <si>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</si>
  <si>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</si>
  <si>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</si>
  <si>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</si>
  <si>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</si>
  <si>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Jun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</si>
  <si>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</si>
  <si>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</si>
  <si>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</si>
  <si>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</si>
  <si>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</si>
  <si>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</si>
  <si>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</si>
  <si>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</si>
  <si>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</si>
  <si>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Order Amount</t>
  </si>
  <si>
    <t>Payment Mode</t>
  </si>
  <si>
    <t>Date</t>
  </si>
  <si>
    <t>UPI</t>
  </si>
  <si>
    <t>Cash</t>
  </si>
  <si>
    <t>Card</t>
  </si>
  <si>
    <t>Wallet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</si>
  <si>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</si>
  <si>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</si>
  <si>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</si>
  <si>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</si>
  <si>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</si>
  <si>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</si>
  <si>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</si>
  <si>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</si>
  <si>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</si>
  <si>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Quantity</t>
  </si>
  <si>
    <t>Total Amount</t>
  </si>
  <si>
    <t>Year</t>
  </si>
  <si>
    <t>Day</t>
  </si>
  <si>
    <t>Sum of Total Amount</t>
  </si>
  <si>
    <t>Row Labels</t>
  </si>
  <si>
    <t>Grand Total</t>
  </si>
  <si>
    <t>Min of Total Amount</t>
  </si>
  <si>
    <t>Max of Total Amount</t>
  </si>
  <si>
    <t>Average of Total Amount</t>
  </si>
  <si>
    <t>Sum</t>
  </si>
  <si>
    <t>Max</t>
  </si>
  <si>
    <t>Avg</t>
  </si>
  <si>
    <t>Jul</t>
  </si>
  <si>
    <t>Aug</t>
  </si>
  <si>
    <t>Sep</t>
  </si>
  <si>
    <t>Total , Min, Avg, Max</t>
  </si>
  <si>
    <t>City</t>
  </si>
  <si>
    <t>Agra</t>
  </si>
  <si>
    <t>Ahmedabad</t>
  </si>
  <si>
    <t>Allahabad</t>
  </si>
  <si>
    <t>Amritsar</t>
  </si>
  <si>
    <t>Aurangabad</t>
  </si>
  <si>
    <t>Bangalore</t>
  </si>
  <si>
    <t>Bhopal</t>
  </si>
  <si>
    <t>Bhubaneshwar</t>
  </si>
  <si>
    <t>Chandigarh</t>
  </si>
  <si>
    <t>Chennai</t>
  </si>
  <si>
    <t>Dehradun</t>
  </si>
  <si>
    <t>Faridabad</t>
  </si>
  <si>
    <t>Ghaziabad</t>
  </si>
  <si>
    <t>Goa</t>
  </si>
  <si>
    <t>Gurgaon</t>
  </si>
  <si>
    <t>Sales Performance Dashboard</t>
  </si>
  <si>
    <t>Period : 2025– 2026</t>
  </si>
  <si>
    <t>Min Sales</t>
  </si>
  <si>
    <t>Max Sales</t>
  </si>
  <si>
    <t>Avg Sales</t>
  </si>
  <si>
    <t>Count of Total Amount</t>
  </si>
  <si>
    <t>Count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</si>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</sst>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₹&quot;\ #,##0;[Red]&quot;₹&quot;\ \-#,##0"/>
    <numFmt numFmtId="44" formatCode="_ &quot;₹&quot;\ * #,##0.00_ ;_ &quot;₹&quot;\ * \-#,##0.00_ ;_ &quot;₹&quot;\ * &quot;-&quot;??_ ;_ @_ "/>
    <numFmt numFmtId="164" formatCode="_ &quot;₹&quot;\ * #,##0_ ;_ &quot;₹&quot;\ * \-#,##0_ ;_ &quot;₹&quot;\ * &quot;-&quot;??_ ;_ @_ "/>
    <numFmt numFmtId="175" formatCode="&quot;₹&quot;\ #,##0.00"/>
    <numFmt numFmtId="177" formatCode="&quot;₹&quot;\ 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b/>
      <sz val="2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99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6" fontId="0" fillId="0" borderId="0" xfId="0" applyNumberFormat="1"/>
    <xf numFmtId="6" fontId="0" fillId="0" borderId="0" xfId="0" applyNumberFormat="1" applyAlignment="1">
      <alignment horizontal="right" vertical="center" wrapText="1"/>
    </xf>
    <xf numFmtId="1" fontId="2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6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2" borderId="1" xfId="0" applyFont="1" applyFill="1" applyBorder="1"/>
    <xf numFmtId="0" fontId="0" fillId="3" borderId="0" xfId="0" applyFill="1"/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175" fontId="7" fillId="5" borderId="0" xfId="1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/>
    </xf>
    <xf numFmtId="175" fontId="7" fillId="6" borderId="0" xfId="1" applyNumberFormat="1" applyFont="1" applyFill="1" applyAlignment="1">
      <alignment horizontal="center"/>
    </xf>
    <xf numFmtId="0" fontId="7" fillId="7" borderId="0" xfId="0" applyFont="1" applyFill="1" applyAlignment="1">
      <alignment horizontal="center"/>
    </xf>
    <xf numFmtId="175" fontId="7" fillId="7" borderId="0" xfId="1" applyNumberFormat="1" applyFont="1" applyFill="1" applyAlignment="1">
      <alignment horizontal="center"/>
    </xf>
    <xf numFmtId="177" fontId="0" fillId="0" borderId="0" xfId="1" applyNumberFormat="1" applyFont="1"/>
    <xf numFmtId="0" fontId="0" fillId="0" borderId="0" xfId="0" applyNumberForma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3"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10" formatCode="&quot;₹&quot;\ #,##0;[Red]&quot;₹&quot;\ \-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numFmt numFmtId="10" formatCode="&quot;₹&quot;\ #,##0;[Red]&quot;₹&quot;\ \-#,##0"/>
      <alignment horizontal="right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9900"/>
      <color rgb="FFFFCC66"/>
      <color rgb="FF009900"/>
      <color rgb="FFFF5050"/>
      <color rgb="FF1A4368"/>
      <color rgb="FF4976C7"/>
      <color rgb="FF20B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Cuisine Types</a:t>
            </a:r>
            <a:endParaRPr lang="en-IN" sz="14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BBD-4BF6-BE1F-149A72F940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FBBD-4BF6-BE1F-149A72F940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BBD-4BF6-BE1F-149A72F940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BBD-4BF6-BE1F-149A72F940F1}"/>
              </c:ext>
            </c:extLst>
          </c:dPt>
          <c:dLbls>
            <c:dLbl>
              <c:idx val="0"/>
              <c:layout>
                <c:manualLayout>
                  <c:x val="9.1658740795294125E-2"/>
                  <c:y val="-6.3651343309360953E-2"/>
                </c:manualLayout>
              </c:layout>
              <c:tx>
                <c:rich>
                  <a:bodyPr/>
                  <a:lstStyle/>
                  <a:p>
                    <a:fld id="{6575FA1F-89D3-4A2B-B781-0DCCF48FC36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CA6A59B-50F5-46B7-A833-D0886F3DAB70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FF4A8658-8C96-4F0B-825C-588C4A7F5327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BBD-4BF6-BE1F-149A72F940F1}"/>
                </c:ext>
              </c:extLst>
            </c:dLbl>
            <c:dLbl>
              <c:idx val="1"/>
              <c:layout>
                <c:manualLayout>
                  <c:x val="7.9703252865473154E-2"/>
                  <c:y val="8.3236372019933544E-2"/>
                </c:manualLayout>
              </c:layout>
              <c:tx>
                <c:rich>
                  <a:bodyPr/>
                  <a:lstStyle/>
                  <a:p>
                    <a:fld id="{951ABA9F-0DAE-4FC3-B315-29A996BFFFB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BFE3448-E2DB-4D86-AF82-6CCF5978AE95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7411F622-D180-4CE7-812A-1D08FFB5539D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BBD-4BF6-BE1F-149A72F940F1}"/>
                </c:ext>
              </c:extLst>
            </c:dLbl>
            <c:dLbl>
              <c:idx val="2"/>
              <c:layout>
                <c:manualLayout>
                  <c:x val="-9.1658740795294125E-2"/>
                  <c:y val="0"/>
                </c:manualLayout>
              </c:layout>
              <c:tx>
                <c:rich>
                  <a:bodyPr/>
                  <a:lstStyle/>
                  <a:p>
                    <a:fld id="{0CCCF0A6-BA86-4FE0-BB60-C1D6234B0B2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8B81227-6B48-421C-BDA9-199E213294A4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E0AC28B1-01BA-4D6D-BBB3-CFB4388B0058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BBD-4BF6-BE1F-149A72F940F1}"/>
                </c:ext>
              </c:extLst>
            </c:dLbl>
            <c:dLbl>
              <c:idx val="3"/>
              <c:layout>
                <c:manualLayout>
                  <c:x val="-8.7673578152020468E-2"/>
                  <c:y val="-0.12240642944107882"/>
                </c:manualLayout>
              </c:layout>
              <c:tx>
                <c:rich>
                  <a:bodyPr/>
                  <a:lstStyle/>
                  <a:p>
                    <a:fld id="{BFC72217-571E-4E1C-AF01-57B6F2F6C45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B2D02A3-A3AF-4C5D-A400-7749719E1688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217F26BA-FBBF-4375-9F37-C7115E3CC5DD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BBD-4BF6-BE1F-149A72F940F1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'Pivote Table'!$G$4:$G$7</c:f>
              <c:strCache>
                <c:ptCount val="4"/>
                <c:pt idx="0">
                  <c:v>Chinese</c:v>
                </c:pt>
                <c:pt idx="1">
                  <c:v>Indian</c:v>
                </c:pt>
                <c:pt idx="2">
                  <c:v>Italian</c:v>
                </c:pt>
                <c:pt idx="3">
                  <c:v>Mexican</c:v>
                </c:pt>
              </c:strCache>
            </c:strRef>
          </c:cat>
          <c:val>
            <c:numRef>
              <c:f>'Pivote Table'!$H$4:$H$7</c:f>
              <c:numCache>
                <c:formatCode>0</c:formatCode>
                <c:ptCount val="4"/>
                <c:pt idx="0">
                  <c:v>19</c:v>
                </c:pt>
                <c:pt idx="1">
                  <c:v>28</c:v>
                </c:pt>
                <c:pt idx="2">
                  <c:v>15</c:v>
                </c:pt>
                <c:pt idx="3">
                  <c:v>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'Pivote Table'!$G$4:$G$7</c15:f>
                <c15:dlblRangeCache>
                  <c:ptCount val="4"/>
                  <c:pt idx="0">
                    <c:v>Chinese</c:v>
                  </c:pt>
                  <c:pt idx="1">
                    <c:v>Indian</c:v>
                  </c:pt>
                  <c:pt idx="2">
                    <c:v>Italian</c:v>
                  </c:pt>
                  <c:pt idx="3">
                    <c:v>Mexican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BBD-4BF6-BE1F-149A72F940F1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elete val="1"/>
          </c:dLbls>
          <c:cat>
            <c:strRef>
              <c:f>'Pivote Table'!$G$4:$G$7</c:f>
              <c:strCache>
                <c:ptCount val="4"/>
                <c:pt idx="0">
                  <c:v>Chinese</c:v>
                </c:pt>
                <c:pt idx="1">
                  <c:v>Indian</c:v>
                </c:pt>
                <c:pt idx="2">
                  <c:v>Italian</c:v>
                </c:pt>
                <c:pt idx="3">
                  <c:v>Mexican</c:v>
                </c:pt>
              </c:strCache>
            </c:strRef>
          </c:cat>
          <c:val>
            <c:numRef>
              <c:f>'Pivote Table'!$I$4:$I$7</c:f>
              <c:numCache>
                <c:formatCode>"₹"\ #,##0</c:formatCode>
                <c:ptCount val="4"/>
                <c:pt idx="0">
                  <c:v>9809</c:v>
                </c:pt>
                <c:pt idx="1">
                  <c:v>12981</c:v>
                </c:pt>
                <c:pt idx="2">
                  <c:v>5859</c:v>
                </c:pt>
                <c:pt idx="3">
                  <c:v>3630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BD-4BF6-BE1F-149A72F940F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2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Month To Month To</a:t>
            </a:r>
          </a:p>
          <a:p>
            <a:pPr algn="ctr" rtl="0">
              <a:defRPr/>
            </a:pPr>
            <a:r>
              <a:rPr lang="en-US" sz="12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Total Order</a:t>
            </a:r>
          </a:p>
        </cx:rich>
      </cx:tx>
    </cx:title>
    <cx:plotArea>
      <cx:plotAreaRegion>
        <cx:series layoutId="waterfall" uniqueId="{00000000-7A08-4D17-93C7-139D3F3F2167}">
          <cx:tx>
            <cx:txData>
              <cx:f>_xlchart.v1.1</cx:f>
              <cx:v>Sum of Total Amount</cx:v>
            </cx:txData>
          </cx:tx>
          <cx:dataLabels pos="inEnd">
            <cx:visibility seriesName="0" categoryName="0" value="1"/>
            <cx:separator>, </cx:separator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25"/>
        <cx:tickLabels/>
      </cx:axis>
      <cx:axis id="1" hidden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561314</xdr:colOff>
      <xdr:row>8</xdr:row>
      <xdr:rowOff>158436</xdr:rowOff>
    </xdr:from>
    <xdr:to>
      <xdr:col>19</xdr:col>
      <xdr:colOff>570368</xdr:colOff>
      <xdr:row>22</xdr:row>
      <xdr:rowOff>99588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375360E-DC10-0A50-CDA3-A8FA54C97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190122</xdr:colOff>
      <xdr:row>8</xdr:row>
      <xdr:rowOff>158435</xdr:rowOff>
    </xdr:from>
    <xdr:to>
      <xdr:col>27</xdr:col>
      <xdr:colOff>0</xdr:colOff>
      <xdr:row>22</xdr:row>
      <xdr:rowOff>117695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1ECDF922-2660-BB81-B212-8F30434CF5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98700" y="1760898"/>
              <a:ext cx="4092167" cy="24942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92.787339930554" createdVersion="8" refreshedVersion="8" minRefreshableVersion="3" recordCount="69" xr:uid="{874A582F-AFB8-4937-AD04-8814CCF5C226}">
  <cacheSource type="worksheet">
    <worksheetSource name="Order_Table"/>
  </cacheSource>
  <cacheFields count="11">
    <cacheField name="Order ID" numFmtId="0">
      <sharedItems/>
    </cacheField>
    <cacheField name="Date" numFmtId="15">
      <sharedItems containsSemiMixedTypes="0" containsNonDate="0" containsDate="1" containsString="0" minDate="2025-01-01T00:00:00" maxDate="2026-09-28T00:00:00"/>
    </cacheField>
    <cacheField name="Order Amount" numFmtId="6">
      <sharedItems containsSemiMixedTypes="0" containsString="0" containsNumber="1" containsInteger="1" minValue="52" maxValue="161"/>
    </cacheField>
    <cacheField name="Quantity" numFmtId="1">
      <sharedItems containsSemiMixedTypes="0" containsString="0" containsNumber="1" containsInteger="1" minValue="1" maxValue="8"/>
    </cacheField>
    <cacheField name="Cuisine" numFmtId="0">
      <sharedItems count="4">
        <s v="Indian"/>
        <s v="Chinese"/>
        <s v="Italian"/>
        <s v="Mexican"/>
      </sharedItems>
    </cacheField>
    <cacheField name="Payment Mode" numFmtId="0">
      <sharedItems/>
    </cacheField>
    <cacheField name="City" numFmtId="0">
      <sharedItems count="15">
        <s v="Agra"/>
        <s v="Ahmedabad"/>
        <s v="Allahabad"/>
        <s v="Amritsar"/>
        <s v="Chandigarh"/>
        <s v="Aurangabad"/>
        <s v="Bangalore"/>
        <s v="Bhopal"/>
        <s v="Bhubaneshwar"/>
        <s v="Chennai"/>
        <s v="Dehradun"/>
        <s v="Faridabad"/>
        <s v="Ghaziabad"/>
        <s v="Goa"/>
        <s v="Gurgaon"/>
      </sharedItems>
    </cacheField>
    <cacheField name="Total Amount" numFmtId="6">
      <sharedItems containsSemiMixedTypes="0" containsString="0" containsNumber="1" containsInteger="1" minValue="52" maxValue="1144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Month" numFmtId="0">
      <sharedItems count="9">
        <s v="Jan"/>
        <s v="Feb"/>
        <s v="Mar"/>
        <s v="Apr"/>
        <s v="May"/>
        <s v="Jun"/>
        <s v="Jul"/>
        <s v="Aug"/>
        <s v="Sep"/>
      </sharedItems>
    </cacheField>
    <cacheField name="Day" numFmtId="0">
      <sharedItems containsSemiMixedTypes="0" containsString="0" containsNumber="1" containsInteger="1" minValue="1" maxValue="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s v="ORD1001"/>
    <d v="2025-01-01T00:00:00"/>
    <n v="101"/>
    <n v="2"/>
    <x v="0"/>
    <s v="UPI"/>
    <x v="0"/>
    <n v="202"/>
    <x v="0"/>
    <x v="0"/>
    <n v="1"/>
  </r>
  <r>
    <s v="ORD1002"/>
    <d v="2025-01-03T00:00:00"/>
    <n v="79"/>
    <n v="5"/>
    <x v="1"/>
    <s v="Cash"/>
    <x v="1"/>
    <n v="395"/>
    <x v="0"/>
    <x v="0"/>
    <n v="3"/>
  </r>
  <r>
    <s v="ORD1003"/>
    <d v="2025-01-05T00:00:00"/>
    <n v="122"/>
    <n v="4"/>
    <x v="2"/>
    <s v="Card"/>
    <x v="2"/>
    <n v="488"/>
    <x v="0"/>
    <x v="0"/>
    <n v="5"/>
  </r>
  <r>
    <s v="ORD1004"/>
    <d v="2025-01-07T00:00:00"/>
    <n v="107"/>
    <n v="2"/>
    <x v="0"/>
    <s v="UPI"/>
    <x v="3"/>
    <n v="214"/>
    <x v="0"/>
    <x v="0"/>
    <n v="7"/>
  </r>
  <r>
    <s v="ORD1005"/>
    <d v="2025-01-09T00:00:00"/>
    <n v="123"/>
    <n v="5"/>
    <x v="3"/>
    <s v="Wallet"/>
    <x v="4"/>
    <n v="615"/>
    <x v="0"/>
    <x v="0"/>
    <n v="9"/>
  </r>
  <r>
    <s v="ORD1006"/>
    <d v="2026-01-11T00:00:00"/>
    <n v="88"/>
    <n v="4"/>
    <x v="1"/>
    <s v="UPI"/>
    <x v="5"/>
    <n v="352"/>
    <x v="1"/>
    <x v="0"/>
    <n v="11"/>
  </r>
  <r>
    <s v="ORD1007"/>
    <d v="2026-01-13T00:00:00"/>
    <n v="66"/>
    <n v="8"/>
    <x v="0"/>
    <s v="Cash"/>
    <x v="6"/>
    <n v="528"/>
    <x v="1"/>
    <x v="0"/>
    <n v="13"/>
  </r>
  <r>
    <s v="ORD1008"/>
    <d v="2026-01-15T00:00:00"/>
    <n v="91"/>
    <n v="6"/>
    <x v="2"/>
    <s v="Card"/>
    <x v="7"/>
    <n v="546"/>
    <x v="1"/>
    <x v="0"/>
    <n v="15"/>
  </r>
  <r>
    <s v="ORD1009"/>
    <d v="2026-02-01T00:00:00"/>
    <n v="52"/>
    <n v="1"/>
    <x v="0"/>
    <s v="UPI"/>
    <x v="8"/>
    <n v="52"/>
    <x v="1"/>
    <x v="1"/>
    <n v="1"/>
  </r>
  <r>
    <s v="ORD1010"/>
    <d v="2026-02-03T00:00:00"/>
    <n v="91"/>
    <n v="5"/>
    <x v="1"/>
    <s v="Wallet"/>
    <x v="9"/>
    <n v="455"/>
    <x v="1"/>
    <x v="1"/>
    <n v="3"/>
  </r>
  <r>
    <s v="ORD1011"/>
    <d v="2026-02-05T00:00:00"/>
    <n v="111"/>
    <n v="8"/>
    <x v="0"/>
    <s v="UPI"/>
    <x v="10"/>
    <n v="888"/>
    <x v="1"/>
    <x v="1"/>
    <n v="5"/>
  </r>
  <r>
    <s v="ORD1012"/>
    <d v="2026-02-07T00:00:00"/>
    <n v="83"/>
    <n v="7"/>
    <x v="2"/>
    <s v="Cash"/>
    <x v="11"/>
    <n v="581"/>
    <x v="1"/>
    <x v="1"/>
    <n v="7"/>
  </r>
  <r>
    <s v="ORD1013"/>
    <d v="2026-02-09T00:00:00"/>
    <n v="107"/>
    <n v="8"/>
    <x v="1"/>
    <s v="Card"/>
    <x v="12"/>
    <n v="856"/>
    <x v="1"/>
    <x v="1"/>
    <n v="9"/>
  </r>
  <r>
    <s v="ORD1014"/>
    <d v="2026-02-11T00:00:00"/>
    <n v="89"/>
    <n v="6"/>
    <x v="0"/>
    <s v="UPI"/>
    <x v="13"/>
    <n v="534"/>
    <x v="1"/>
    <x v="1"/>
    <n v="11"/>
  </r>
  <r>
    <s v="ORD1015"/>
    <d v="2026-02-13T00:00:00"/>
    <n v="70"/>
    <n v="4"/>
    <x v="3"/>
    <s v="Wallet"/>
    <x v="14"/>
    <n v="280"/>
    <x v="1"/>
    <x v="1"/>
    <n v="13"/>
  </r>
  <r>
    <s v="ORD1016"/>
    <d v="2026-03-01T00:00:00"/>
    <n v="138"/>
    <n v="2"/>
    <x v="0"/>
    <s v="Card"/>
    <x v="0"/>
    <n v="276"/>
    <x v="1"/>
    <x v="2"/>
    <n v="1"/>
  </r>
  <r>
    <s v="ORD1017"/>
    <d v="2026-03-03T00:00:00"/>
    <n v="88"/>
    <n v="5"/>
    <x v="1"/>
    <s v="UPI"/>
    <x v="1"/>
    <n v="440"/>
    <x v="1"/>
    <x v="2"/>
    <n v="3"/>
  </r>
  <r>
    <s v="ORD1018"/>
    <d v="2026-03-05T00:00:00"/>
    <n v="72"/>
    <n v="7"/>
    <x v="2"/>
    <s v="Cash"/>
    <x v="2"/>
    <n v="504"/>
    <x v="1"/>
    <x v="2"/>
    <n v="5"/>
  </r>
  <r>
    <s v="ORD1019"/>
    <d v="2026-03-07T00:00:00"/>
    <n v="130"/>
    <n v="8"/>
    <x v="0"/>
    <s v="UPI"/>
    <x v="3"/>
    <n v="1040"/>
    <x v="1"/>
    <x v="2"/>
    <n v="7"/>
  </r>
  <r>
    <s v="ORD1020"/>
    <d v="2026-03-09T00:00:00"/>
    <n v="152"/>
    <n v="4"/>
    <x v="1"/>
    <s v="Card"/>
    <x v="4"/>
    <n v="608"/>
    <x v="1"/>
    <x v="2"/>
    <n v="9"/>
  </r>
  <r>
    <s v="ORD1021"/>
    <d v="2026-03-11T00:00:00"/>
    <n v="64"/>
    <n v="5"/>
    <x v="0"/>
    <s v="Cash"/>
    <x v="5"/>
    <n v="320"/>
    <x v="1"/>
    <x v="2"/>
    <n v="11"/>
  </r>
  <r>
    <s v="ORD1022"/>
    <d v="2026-03-13T00:00:00"/>
    <n v="125"/>
    <n v="6"/>
    <x v="2"/>
    <s v="UPI"/>
    <x v="6"/>
    <n v="750"/>
    <x v="1"/>
    <x v="2"/>
    <n v="13"/>
  </r>
  <r>
    <s v="ORD1023"/>
    <d v="2026-04-02T00:00:00"/>
    <n v="99"/>
    <n v="1"/>
    <x v="1"/>
    <s v="Wallet"/>
    <x v="7"/>
    <n v="99"/>
    <x v="1"/>
    <x v="3"/>
    <n v="2"/>
  </r>
  <r>
    <s v="ORD1024"/>
    <d v="2026-04-04T00:00:00"/>
    <n v="67"/>
    <n v="5"/>
    <x v="0"/>
    <s v="Card"/>
    <x v="8"/>
    <n v="335"/>
    <x v="1"/>
    <x v="3"/>
    <n v="4"/>
  </r>
  <r>
    <s v="ORD1025"/>
    <d v="2026-04-06T00:00:00"/>
    <n v="112"/>
    <n v="8"/>
    <x v="3"/>
    <s v="UPI"/>
    <x v="9"/>
    <n v="896"/>
    <x v="1"/>
    <x v="3"/>
    <n v="6"/>
  </r>
  <r>
    <s v="ORD1026"/>
    <d v="2026-04-08T00:00:00"/>
    <n v="87"/>
    <n v="1"/>
    <x v="1"/>
    <s v="Cash"/>
    <x v="10"/>
    <n v="87"/>
    <x v="1"/>
    <x v="3"/>
    <n v="8"/>
  </r>
  <r>
    <s v="ORD1027"/>
    <d v="2026-04-23T00:00:00"/>
    <n v="121"/>
    <n v="3"/>
    <x v="0"/>
    <s v="UPI"/>
    <x v="11"/>
    <n v="363"/>
    <x v="1"/>
    <x v="3"/>
    <n v="23"/>
  </r>
  <r>
    <s v="ORD1028"/>
    <d v="2026-04-25T00:00:00"/>
    <n v="114"/>
    <n v="5"/>
    <x v="2"/>
    <s v="Card"/>
    <x v="12"/>
    <n v="570"/>
    <x v="1"/>
    <x v="3"/>
    <n v="25"/>
  </r>
  <r>
    <s v="ORD1029"/>
    <d v="2026-04-27T00:00:00"/>
    <n v="70"/>
    <n v="4"/>
    <x v="0"/>
    <s v="Wallet"/>
    <x v="13"/>
    <n v="280"/>
    <x v="1"/>
    <x v="3"/>
    <n v="27"/>
  </r>
  <r>
    <s v="ORD1030"/>
    <d v="2026-05-01T00:00:00"/>
    <n v="131"/>
    <n v="8"/>
    <x v="1"/>
    <s v="UPI"/>
    <x v="14"/>
    <n v="1048"/>
    <x v="1"/>
    <x v="4"/>
    <n v="1"/>
  </r>
  <r>
    <s v="ORD1031"/>
    <d v="2026-05-03T00:00:00"/>
    <n v="122"/>
    <n v="6"/>
    <x v="0"/>
    <s v="Card"/>
    <x v="0"/>
    <n v="732"/>
    <x v="1"/>
    <x v="4"/>
    <n v="3"/>
  </r>
  <r>
    <s v="ORD1032"/>
    <d v="2026-05-05T00:00:00"/>
    <n v="138"/>
    <n v="2"/>
    <x v="1"/>
    <s v="UPI"/>
    <x v="1"/>
    <n v="276"/>
    <x v="1"/>
    <x v="4"/>
    <n v="5"/>
  </r>
  <r>
    <s v="ORD1033"/>
    <d v="2026-05-07T00:00:00"/>
    <n v="110"/>
    <n v="1"/>
    <x v="2"/>
    <s v="Cash"/>
    <x v="2"/>
    <n v="110"/>
    <x v="1"/>
    <x v="4"/>
    <n v="7"/>
  </r>
  <r>
    <s v="ORD1034"/>
    <d v="2026-05-09T00:00:00"/>
    <n v="130"/>
    <n v="4"/>
    <x v="0"/>
    <s v="UPI"/>
    <x v="3"/>
    <n v="520"/>
    <x v="1"/>
    <x v="4"/>
    <n v="9"/>
  </r>
  <r>
    <s v="ORD1035"/>
    <d v="2026-05-23T00:00:00"/>
    <n v="63"/>
    <n v="5"/>
    <x v="3"/>
    <s v="Wallet"/>
    <x v="4"/>
    <n v="315"/>
    <x v="1"/>
    <x v="4"/>
    <n v="23"/>
  </r>
  <r>
    <s v="ORD1036"/>
    <d v="2026-05-25T00:00:00"/>
    <n v="143"/>
    <n v="8"/>
    <x v="0"/>
    <s v="Card"/>
    <x v="5"/>
    <n v="1144"/>
    <x v="1"/>
    <x v="4"/>
    <n v="25"/>
  </r>
  <r>
    <s v="ORD1037"/>
    <d v="2026-05-27T00:00:00"/>
    <n v="153"/>
    <n v="2"/>
    <x v="1"/>
    <s v="UPI"/>
    <x v="6"/>
    <n v="306"/>
    <x v="1"/>
    <x v="4"/>
    <n v="27"/>
  </r>
  <r>
    <s v="ORD1038"/>
    <d v="2026-06-01T00:00:00"/>
    <n v="70"/>
    <n v="1"/>
    <x v="2"/>
    <s v="Cash"/>
    <x v="7"/>
    <n v="70"/>
    <x v="1"/>
    <x v="5"/>
    <n v="1"/>
  </r>
  <r>
    <s v="ORD1039"/>
    <d v="2026-06-03T00:00:00"/>
    <n v="85"/>
    <n v="4"/>
    <x v="0"/>
    <s v="UPI"/>
    <x v="8"/>
    <n v="340"/>
    <x v="1"/>
    <x v="5"/>
    <n v="3"/>
  </r>
  <r>
    <s v="ORD1040"/>
    <d v="2026-06-05T00:00:00"/>
    <n v="161"/>
    <n v="6"/>
    <x v="1"/>
    <s v="Card"/>
    <x v="9"/>
    <n v="966"/>
    <x v="1"/>
    <x v="5"/>
    <n v="5"/>
  </r>
  <r>
    <s v="ORD1041"/>
    <d v="2026-06-07T00:00:00"/>
    <n v="109"/>
    <n v="2"/>
    <x v="0"/>
    <s v="UPI"/>
    <x v="10"/>
    <n v="218"/>
    <x v="1"/>
    <x v="5"/>
    <n v="7"/>
  </r>
  <r>
    <s v="ORD1042"/>
    <d v="2026-06-09T00:00:00"/>
    <n v="128"/>
    <n v="8"/>
    <x v="2"/>
    <s v="Cash"/>
    <x v="11"/>
    <n v="1024"/>
    <x v="1"/>
    <x v="5"/>
    <n v="9"/>
  </r>
  <r>
    <s v="ORD1043"/>
    <d v="2026-06-23T00:00:00"/>
    <n v="136"/>
    <n v="2"/>
    <x v="1"/>
    <s v="Card"/>
    <x v="12"/>
    <n v="272"/>
    <x v="1"/>
    <x v="5"/>
    <n v="23"/>
  </r>
  <r>
    <s v="ORD1044"/>
    <d v="2026-06-25T00:00:00"/>
    <n v="160"/>
    <n v="4"/>
    <x v="0"/>
    <s v="UPI"/>
    <x v="13"/>
    <n v="640"/>
    <x v="1"/>
    <x v="5"/>
    <n v="25"/>
  </r>
  <r>
    <s v="ORD1045"/>
    <d v="2026-06-27T00:00:00"/>
    <n v="127"/>
    <n v="5"/>
    <x v="3"/>
    <s v="Wallet"/>
    <x v="14"/>
    <n v="635"/>
    <x v="1"/>
    <x v="5"/>
    <n v="27"/>
  </r>
  <r>
    <s v="ORD1046"/>
    <d v="2026-07-01T00:00:00"/>
    <n v="84"/>
    <n v="6"/>
    <x v="1"/>
    <s v="Cash"/>
    <x v="0"/>
    <n v="504"/>
    <x v="1"/>
    <x v="6"/>
    <n v="1"/>
  </r>
  <r>
    <s v="ORD1047"/>
    <d v="2026-07-03T00:00:00"/>
    <n v="64"/>
    <n v="3"/>
    <x v="0"/>
    <s v="UPI"/>
    <x v="1"/>
    <n v="192"/>
    <x v="1"/>
    <x v="6"/>
    <n v="3"/>
  </r>
  <r>
    <s v="ORD1048"/>
    <d v="2026-07-05T00:00:00"/>
    <n v="110"/>
    <n v="1"/>
    <x v="2"/>
    <s v="Card"/>
    <x v="2"/>
    <n v="110"/>
    <x v="1"/>
    <x v="6"/>
    <n v="5"/>
  </r>
  <r>
    <s v="ORD1049"/>
    <d v="2026-07-07T00:00:00"/>
    <n v="117"/>
    <n v="5"/>
    <x v="0"/>
    <s v="UPI"/>
    <x v="3"/>
    <n v="585"/>
    <x v="1"/>
    <x v="6"/>
    <n v="7"/>
  </r>
  <r>
    <s v="ORD1050"/>
    <d v="2026-07-09T00:00:00"/>
    <n v="70"/>
    <n v="4"/>
    <x v="2"/>
    <s v="Cash"/>
    <x v="4"/>
    <n v="280"/>
    <x v="1"/>
    <x v="6"/>
    <n v="9"/>
  </r>
  <r>
    <s v="ORD1051"/>
    <d v="2026-07-23T00:00:00"/>
    <n v="85"/>
    <n v="7"/>
    <x v="0"/>
    <s v="UPI"/>
    <x v="5"/>
    <n v="595"/>
    <x v="1"/>
    <x v="6"/>
    <n v="23"/>
  </r>
  <r>
    <s v="ORD1052"/>
    <d v="2026-07-25T00:00:00"/>
    <n v="161"/>
    <n v="5"/>
    <x v="1"/>
    <s v="Card"/>
    <x v="6"/>
    <n v="805"/>
    <x v="1"/>
    <x v="6"/>
    <n v="25"/>
  </r>
  <r>
    <s v="ORD1053"/>
    <d v="2026-07-27T00:00:00"/>
    <n v="109"/>
    <n v="2"/>
    <x v="0"/>
    <s v="UPI"/>
    <x v="7"/>
    <n v="218"/>
    <x v="1"/>
    <x v="6"/>
    <n v="27"/>
  </r>
  <r>
    <s v="ORD1054"/>
    <d v="2026-08-01T00:00:00"/>
    <n v="128"/>
    <n v="1"/>
    <x v="2"/>
    <s v="Cash"/>
    <x v="8"/>
    <n v="128"/>
    <x v="1"/>
    <x v="7"/>
    <n v="1"/>
  </r>
  <r>
    <s v="ORD1055"/>
    <d v="2026-08-03T00:00:00"/>
    <n v="136"/>
    <n v="5"/>
    <x v="1"/>
    <s v="Card"/>
    <x v="9"/>
    <n v="680"/>
    <x v="1"/>
    <x v="7"/>
    <n v="3"/>
  </r>
  <r>
    <s v="ORD1056"/>
    <d v="2026-08-05T00:00:00"/>
    <n v="160"/>
    <n v="3"/>
    <x v="0"/>
    <s v="UPI"/>
    <x v="10"/>
    <n v="480"/>
    <x v="1"/>
    <x v="7"/>
    <n v="5"/>
  </r>
  <r>
    <s v="ORD1057"/>
    <d v="2026-08-07T00:00:00"/>
    <n v="127"/>
    <n v="2"/>
    <x v="3"/>
    <s v="Wallet"/>
    <x v="11"/>
    <n v="254"/>
    <x v="1"/>
    <x v="7"/>
    <n v="7"/>
  </r>
  <r>
    <s v="ORD1058"/>
    <d v="2026-08-09T00:00:00"/>
    <n v="84"/>
    <n v="4"/>
    <x v="1"/>
    <s v="Cash"/>
    <x v="12"/>
    <n v="336"/>
    <x v="1"/>
    <x v="7"/>
    <n v="9"/>
  </r>
  <r>
    <s v="ORD1059"/>
    <d v="2026-08-23T00:00:00"/>
    <n v="64"/>
    <n v="5"/>
    <x v="0"/>
    <s v="UPI"/>
    <x v="13"/>
    <n v="320"/>
    <x v="1"/>
    <x v="7"/>
    <n v="23"/>
  </r>
  <r>
    <s v="ORD1060"/>
    <d v="2026-08-25T00:00:00"/>
    <n v="110"/>
    <n v="2"/>
    <x v="2"/>
    <s v="Card"/>
    <x v="14"/>
    <n v="220"/>
    <x v="1"/>
    <x v="7"/>
    <n v="25"/>
  </r>
  <r>
    <s v="ORD1061"/>
    <d v="2026-08-27T00:00:00"/>
    <n v="117"/>
    <n v="1"/>
    <x v="0"/>
    <s v="UPI"/>
    <x v="0"/>
    <n v="117"/>
    <x v="1"/>
    <x v="7"/>
    <n v="27"/>
  </r>
  <r>
    <s v="ORD1062"/>
    <d v="2026-09-01T00:00:00"/>
    <n v="70"/>
    <n v="5"/>
    <x v="2"/>
    <s v="Cash"/>
    <x v="1"/>
    <n v="350"/>
    <x v="1"/>
    <x v="8"/>
    <n v="1"/>
  </r>
  <r>
    <s v="ORD1063"/>
    <d v="2026-09-03T00:00:00"/>
    <n v="85"/>
    <n v="6"/>
    <x v="0"/>
    <s v="UPI"/>
    <x v="2"/>
    <n v="510"/>
    <x v="1"/>
    <x v="8"/>
    <n v="3"/>
  </r>
  <r>
    <s v="ORD1064"/>
    <d v="2026-09-05T00:00:00"/>
    <n v="161"/>
    <n v="4"/>
    <x v="1"/>
    <s v="Card"/>
    <x v="3"/>
    <n v="644"/>
    <x v="1"/>
    <x v="8"/>
    <n v="5"/>
  </r>
  <r>
    <s v="ORD1065"/>
    <d v="2026-09-07T00:00:00"/>
    <n v="109"/>
    <n v="2"/>
    <x v="0"/>
    <s v="UPI"/>
    <x v="4"/>
    <n v="218"/>
    <x v="1"/>
    <x v="8"/>
    <n v="7"/>
  </r>
  <r>
    <s v="ORD1066"/>
    <d v="2026-09-09T00:00:00"/>
    <n v="128"/>
    <n v="1"/>
    <x v="2"/>
    <s v="Cash"/>
    <x v="5"/>
    <n v="128"/>
    <x v="1"/>
    <x v="8"/>
    <n v="9"/>
  </r>
  <r>
    <s v="ORD1067"/>
    <d v="2026-09-23T00:00:00"/>
    <n v="136"/>
    <n v="5"/>
    <x v="1"/>
    <s v="Card"/>
    <x v="6"/>
    <n v="680"/>
    <x v="1"/>
    <x v="8"/>
    <n v="23"/>
  </r>
  <r>
    <s v="ORD1068"/>
    <d v="2026-09-25T00:00:00"/>
    <n v="160"/>
    <n v="7"/>
    <x v="0"/>
    <s v="UPI"/>
    <x v="7"/>
    <n v="1120"/>
    <x v="1"/>
    <x v="8"/>
    <n v="25"/>
  </r>
  <r>
    <s v="ORD1069"/>
    <d v="2026-09-27T00:00:00"/>
    <n v="127"/>
    <n v="5"/>
    <x v="3"/>
    <s v="Wallet"/>
    <x v="8"/>
    <n v="635"/>
    <x v="1"/>
    <x v="8"/>
    <n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724484-DD3B-43BD-817C-AD609CCABFE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0" firstDataRow="1" firstDataCol="1"/>
  <pivotFields count="11">
    <pivotField showAll="0"/>
    <pivotField numFmtId="15" showAll="0"/>
    <pivotField numFmtId="6" showAll="0"/>
    <pivotField numFmtId="1"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numFmtId="6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Total Amount" fld="7" subtotal="count" baseField="0" baseItem="0"/>
    <dataField name="Sum of Total Amount" fld="7" baseField="0" baseItem="0" numFmtId="6"/>
    <dataField name="Max of Total Amount" fld="7" subtotal="max" baseField="0" baseItem="0" numFmtId="6"/>
    <dataField name="Average of Total Amount" fld="7" subtotal="average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DE978-FF0E-47FF-94C0-17CF36E48D71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A18" firstHeaderRow="1" firstDataRow="1" firstDataCol="0"/>
  <pivotFields count="11">
    <pivotField showAll="0"/>
    <pivotField numFmtId="15" showAll="0"/>
    <pivotField numFmtId="6" showAll="0"/>
    <pivotField numFmtId="1" showAll="0"/>
    <pivotField showAll="0"/>
    <pivotField showAll="0"/>
    <pivotField showAll="0"/>
    <pivotField dataField="1" numFmtId="6" showAll="0"/>
    <pivotField showAll="0"/>
    <pivotField showAll="0"/>
    <pivotField showAll="0"/>
  </pivotFields>
  <rowItems count="1">
    <i/>
  </rowItems>
  <colItems count="1">
    <i/>
  </colItems>
  <dataFields count="1">
    <dataField name="Min of Total Amount" fld="7" subtotal="min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80077-7388-4071-AEAE-3BF35238231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A15" firstHeaderRow="1" firstDataRow="1" firstDataCol="0"/>
  <pivotFields count="11">
    <pivotField showAll="0"/>
    <pivotField numFmtId="15" showAll="0"/>
    <pivotField numFmtId="6" showAll="0"/>
    <pivotField numFmtId="1" showAll="0"/>
    <pivotField showAll="0"/>
    <pivotField showAll="0"/>
    <pivotField showAll="0"/>
    <pivotField dataField="1" numFmtId="6" showAll="0"/>
    <pivotField showAll="0"/>
    <pivotField showAll="0"/>
    <pivotField showAll="0"/>
  </pivotFields>
  <rowItems count="1">
    <i/>
  </rowItems>
  <colItems count="1">
    <i/>
  </colItems>
  <dataFields count="1">
    <dataField name="Sum of Total Amount" fld="7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288075-A80F-4F46-A1E3-3B5588E0F94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2:G15" firstHeaderRow="1" firstDataRow="1" firstDataCol="1"/>
  <pivotFields count="11">
    <pivotField showAll="0"/>
    <pivotField numFmtId="15" showAll="0"/>
    <pivotField numFmtId="6" showAll="0"/>
    <pivotField numFmtId="1" showAll="0"/>
    <pivotField showAll="0"/>
    <pivotField showAll="0"/>
    <pivotField showAll="0"/>
    <pivotField dataField="1" numFmtId="6"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Total Amount" fld="7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1FD455-8A10-4502-82A5-95BA04CCF276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A25" firstHeaderRow="1" firstDataRow="1" firstDataCol="0"/>
  <pivotFields count="11">
    <pivotField showAll="0"/>
    <pivotField numFmtId="15" showAll="0"/>
    <pivotField numFmtId="6" showAll="0"/>
    <pivotField numFmtId="1" showAll="0"/>
    <pivotField showAll="0"/>
    <pivotField showAll="0"/>
    <pivotField showAll="0"/>
    <pivotField dataField="1" numFmtId="6" showAll="0"/>
    <pivotField showAll="0"/>
    <pivotField showAll="0"/>
    <pivotField showAll="0"/>
  </pivotFields>
  <rowItems count="1">
    <i/>
  </rowItems>
  <colItems count="1">
    <i/>
  </colItems>
  <dataFields count="1">
    <dataField name="Average of Total Amount" fld="7" subtotal="average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E0C660-B016-4E5A-B99E-B5F54704148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7:G27" firstHeaderRow="1" firstDataRow="1" firstDataCol="1"/>
  <pivotFields count="11">
    <pivotField showAll="0"/>
    <pivotField numFmtId="15" showAll="0"/>
    <pivotField numFmtId="6" showAll="0"/>
    <pivotField numFmtId="1" showAll="0"/>
    <pivotField showAll="0"/>
    <pivotField showAll="0"/>
    <pivotField showAll="0"/>
    <pivotField dataField="1" numFmtId="6"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 Amount" fld="7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1078EA-C805-4372-81F5-1464C39E609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A21" firstHeaderRow="1" firstDataRow="1" firstDataCol="0"/>
  <pivotFields count="11">
    <pivotField showAll="0"/>
    <pivotField numFmtId="15" showAll="0"/>
    <pivotField numFmtId="6" showAll="0"/>
    <pivotField numFmtId="1" showAll="0"/>
    <pivotField showAll="0"/>
    <pivotField showAll="0"/>
    <pivotField showAll="0"/>
    <pivotField dataField="1" numFmtId="6" showAll="0"/>
    <pivotField showAll="0"/>
    <pivotField showAll="0"/>
    <pivotField showAll="0"/>
  </pivotFields>
  <rowItems count="1">
    <i/>
  </rowItems>
  <colItems count="1">
    <i/>
  </colItems>
  <dataFields count="1">
    <dataField name="Max of Total Amount" fld="7" subtotal="max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C5B908-5AB2-4BEC-A814-77C1A8E10BEB}" name="Order_Table" displayName="Order_Table" ref="A1:K70" totalsRowShown="0" headerRowDxfId="12" dataDxfId="11">
  <autoFilter ref="A1:K70" xr:uid="{EAC5B908-5AB2-4BEC-A814-77C1A8E10BEB}"/>
  <tableColumns count="11">
    <tableColumn id="1" xr3:uid="{7B71E0A1-D55E-4703-92CB-3DE82A4DCE5D}" name="Order ID" dataDxfId="10"/>
    <tableColumn id="2" xr3:uid="{E54AE3A5-9D30-42A5-91D7-54D15B25BFDD}" name="Date" dataDxfId="9"/>
    <tableColumn id="3" xr3:uid="{58A9134E-50AB-40FB-90D2-7EB614EB8A2A}" name="Order Amount" dataDxfId="8"/>
    <tableColumn id="6" xr3:uid="{A247ACFA-DB7D-439F-9334-C8A617B059E2}" name="Quantity" dataDxfId="7"/>
    <tableColumn id="4" xr3:uid="{1333E6DD-F681-4C4A-A409-5F16EF086582}" name="Cuisine" dataDxfId="6"/>
    <tableColumn id="5" xr3:uid="{41CEC0A3-B73E-4F77-9398-7210F43379C3}" name="Payment Mode" dataDxfId="5"/>
    <tableColumn id="11" xr3:uid="{20DB8861-A93A-4642-81EF-78172617C4CD}" name="City" dataDxfId="4"/>
    <tableColumn id="7" xr3:uid="{A2E635AB-9EFC-456B-A21A-379119590277}" name="Total Amount" dataDxfId="3">
      <calculatedColumnFormula>Order_Table[[#This Row],[Order Amount]]*Order_Table[[#This Row],[Quantity]]</calculatedColumnFormula>
    </tableColumn>
    <tableColumn id="8" xr3:uid="{1B42FA0B-F10C-4829-92AC-CB85BD4DEC32}" name="Year" dataDxfId="2">
      <calculatedColumnFormula>YEAR(Order_Table[[#This Row],[Date]])</calculatedColumnFormula>
    </tableColumn>
    <tableColumn id="9" xr3:uid="{4E494BD3-CA9E-42ED-AE82-3F680E5A80DF}" name="Month" dataDxfId="1">
      <calculatedColumnFormula>TEXT(Order_Table[[#This Row],[Date]],"mmm")</calculatedColumnFormula>
    </tableColumn>
    <tableColumn id="10" xr3:uid="{0F522025-23CF-4940-9C4E-F3B2B49BB2A2}" name="Day" dataDxfId="0">
      <calculatedColumnFormula>DAY(Order_Table[[#This Row],[Date]])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D8436-9BDD-464A-8FE5-6FAF3EAAA62B}">
  <dimension ref="A1:K70"/>
  <sheetViews>
    <sheetView workbookViewId="0">
      <selection activeCell="H10" sqref="H10"/>
    </sheetView>
  </sheetViews>
  <sheetFormatPr defaultRowHeight="14.3" x14ac:dyDescent="0.25"/>
  <cols>
    <col min="1" max="1" width="14.7109375" customWidth="1"/>
    <col min="2" max="2" width="12.28515625" customWidth="1"/>
    <col min="3" max="3" width="17" customWidth="1"/>
    <col min="4" max="4" width="17" style="9" customWidth="1"/>
    <col min="5" max="5" width="17.85546875" customWidth="1"/>
    <col min="6" max="7" width="19.28515625" customWidth="1"/>
    <col min="8" max="8" width="21.7109375" customWidth="1"/>
    <col min="9" max="11" width="11.28515625" style="11" customWidth="1"/>
  </cols>
  <sheetData>
    <row r="1" spans="1:11" x14ac:dyDescent="0.25">
      <c r="A1" s="2" t="s">
        <v>0</v>
      </c>
      <c r="B1" s="2" t="s">
        <v>75</v>
      </c>
      <c r="C1" s="2" t="s">
        <v>73</v>
      </c>
      <c r="D1" s="7" t="s">
        <v>89</v>
      </c>
      <c r="E1" s="2" t="s">
        <v>2</v>
      </c>
      <c r="F1" s="2" t="s">
        <v>74</v>
      </c>
      <c r="G1" s="2" t="s">
        <v>106</v>
      </c>
      <c r="H1" s="2" t="s">
        <v>90</v>
      </c>
      <c r="I1" s="2" t="s">
        <v>91</v>
      </c>
      <c r="J1" s="2" t="s">
        <v>1</v>
      </c>
      <c r="K1" s="2" t="s">
        <v>92</v>
      </c>
    </row>
    <row r="2" spans="1:11" x14ac:dyDescent="0.25">
      <c r="A2" s="3" t="s">
        <v>3</v>
      </c>
      <c r="B2" s="4">
        <v>45658</v>
      </c>
      <c r="C2" s="6">
        <v>101</v>
      </c>
      <c r="D2" s="8">
        <v>2</v>
      </c>
      <c r="E2" s="3" t="s">
        <v>14</v>
      </c>
      <c r="F2" s="3" t="s">
        <v>76</v>
      </c>
      <c r="G2" s="17" t="s">
        <v>107</v>
      </c>
      <c r="H2" s="10">
        <f>Order_Table[[#This Row],[Order Amount]]*Order_Table[[#This Row],[Quantity]]</f>
        <v>202</v>
      </c>
      <c r="I2" s="1">
        <f>YEAR(Order_Table[[#This Row],[Date]])</f>
        <v>2025</v>
      </c>
      <c r="J2" s="1" t="str">
        <f>TEXT(Order_Table[[#This Row],[Date]],"mmm")</f>
        <v>Jan</v>
      </c>
      <c r="K2" s="1">
        <f>DAY(Order_Table[[#This Row],[Date]])</f>
        <v>1</v>
      </c>
    </row>
    <row r="3" spans="1:11" x14ac:dyDescent="0.25">
      <c r="A3" s="3" t="s">
        <v>6</v>
      </c>
      <c r="B3" s="4">
        <v>45660</v>
      </c>
      <c r="C3" s="6">
        <v>79</v>
      </c>
      <c r="D3" s="8">
        <v>5</v>
      </c>
      <c r="E3" s="3" t="s">
        <v>11</v>
      </c>
      <c r="F3" s="3" t="s">
        <v>77</v>
      </c>
      <c r="G3" s="17" t="s">
        <v>108</v>
      </c>
      <c r="H3" s="10">
        <f>Order_Table[[#This Row],[Order Amount]]*Order_Table[[#This Row],[Quantity]]</f>
        <v>395</v>
      </c>
      <c r="I3" s="1">
        <f>YEAR(Order_Table[[#This Row],[Date]])</f>
        <v>2025</v>
      </c>
      <c r="J3" s="1" t="str">
        <f>TEXT(Order_Table[[#This Row],[Date]],"mmm")</f>
        <v>Jan</v>
      </c>
      <c r="K3" s="1">
        <f>DAY(Order_Table[[#This Row],[Date]])</f>
        <v>3</v>
      </c>
    </row>
    <row r="4" spans="1:11" x14ac:dyDescent="0.25">
      <c r="A4" s="3" t="s">
        <v>8</v>
      </c>
      <c r="B4" s="4">
        <v>45662</v>
      </c>
      <c r="C4" s="6">
        <v>122</v>
      </c>
      <c r="D4" s="8">
        <v>4</v>
      </c>
      <c r="E4" s="3" t="s">
        <v>7</v>
      </c>
      <c r="F4" s="3" t="s">
        <v>78</v>
      </c>
      <c r="G4" s="17" t="s">
        <v>109</v>
      </c>
      <c r="H4" s="10">
        <f>Order_Table[[#This Row],[Order Amount]]*Order_Table[[#This Row],[Quantity]]</f>
        <v>488</v>
      </c>
      <c r="I4" s="1">
        <f>YEAR(Order_Table[[#This Row],[Date]])</f>
        <v>2025</v>
      </c>
      <c r="J4" s="1" t="str">
        <f>TEXT(Order_Table[[#This Row],[Date]],"mmm")</f>
        <v>Jan</v>
      </c>
      <c r="K4" s="1">
        <f>DAY(Order_Table[[#This Row],[Date]])</f>
        <v>5</v>
      </c>
    </row>
    <row r="5" spans="1:11" x14ac:dyDescent="0.25">
      <c r="A5" s="3" t="s">
        <v>9</v>
      </c>
      <c r="B5" s="4">
        <v>45664</v>
      </c>
      <c r="C5" s="6">
        <v>107</v>
      </c>
      <c r="D5" s="8">
        <v>2</v>
      </c>
      <c r="E5" s="3" t="s">
        <v>14</v>
      </c>
      <c r="F5" s="3" t="s">
        <v>76</v>
      </c>
      <c r="G5" s="17" t="s">
        <v>110</v>
      </c>
      <c r="H5" s="10">
        <f>Order_Table[[#This Row],[Order Amount]]*Order_Table[[#This Row],[Quantity]]</f>
        <v>214</v>
      </c>
      <c r="I5" s="1">
        <f>YEAR(Order_Table[[#This Row],[Date]])</f>
        <v>2025</v>
      </c>
      <c r="J5" s="1" t="str">
        <f>TEXT(Order_Table[[#This Row],[Date]],"mmm")</f>
        <v>Jan</v>
      </c>
      <c r="K5" s="1">
        <f>DAY(Order_Table[[#This Row],[Date]])</f>
        <v>7</v>
      </c>
    </row>
    <row r="6" spans="1:11" x14ac:dyDescent="0.25">
      <c r="A6" s="3" t="s">
        <v>10</v>
      </c>
      <c r="B6" s="4">
        <v>45666</v>
      </c>
      <c r="C6" s="6">
        <v>123</v>
      </c>
      <c r="D6" s="8">
        <v>5</v>
      </c>
      <c r="E6" s="3" t="s">
        <v>5</v>
      </c>
      <c r="F6" s="3" t="s">
        <v>79</v>
      </c>
      <c r="G6" s="18" t="s">
        <v>115</v>
      </c>
      <c r="H6" s="10">
        <f>Order_Table[[#This Row],[Order Amount]]*Order_Table[[#This Row],[Quantity]]</f>
        <v>615</v>
      </c>
      <c r="I6" s="1">
        <f>YEAR(Order_Table[[#This Row],[Date]])</f>
        <v>2025</v>
      </c>
      <c r="J6" s="1" t="str">
        <f>TEXT(Order_Table[[#This Row],[Date]],"mmm")</f>
        <v>Jan</v>
      </c>
      <c r="K6" s="1">
        <f>DAY(Order_Table[[#This Row],[Date]])</f>
        <v>9</v>
      </c>
    </row>
    <row r="7" spans="1:11" x14ac:dyDescent="0.25">
      <c r="A7" s="3" t="s">
        <v>12</v>
      </c>
      <c r="B7" s="4">
        <v>46033</v>
      </c>
      <c r="C7" s="6">
        <v>88</v>
      </c>
      <c r="D7" s="8">
        <v>4</v>
      </c>
      <c r="E7" s="3" t="s">
        <v>11</v>
      </c>
      <c r="F7" s="3" t="s">
        <v>76</v>
      </c>
      <c r="G7" s="17" t="s">
        <v>111</v>
      </c>
      <c r="H7" s="10">
        <f>Order_Table[[#This Row],[Order Amount]]*Order_Table[[#This Row],[Quantity]]</f>
        <v>352</v>
      </c>
      <c r="I7" s="1">
        <f>YEAR(Order_Table[[#This Row],[Date]])</f>
        <v>2026</v>
      </c>
      <c r="J7" s="1" t="str">
        <f>TEXT(Order_Table[[#This Row],[Date]],"mmm")</f>
        <v>Jan</v>
      </c>
      <c r="K7" s="1">
        <f>DAY(Order_Table[[#This Row],[Date]])</f>
        <v>11</v>
      </c>
    </row>
    <row r="8" spans="1:11" x14ac:dyDescent="0.25">
      <c r="A8" s="3" t="s">
        <v>13</v>
      </c>
      <c r="B8" s="4">
        <v>46035</v>
      </c>
      <c r="C8" s="6">
        <v>66</v>
      </c>
      <c r="D8" s="8">
        <v>8</v>
      </c>
      <c r="E8" s="3" t="s">
        <v>14</v>
      </c>
      <c r="F8" s="3" t="s">
        <v>77</v>
      </c>
      <c r="G8" s="17" t="s">
        <v>112</v>
      </c>
      <c r="H8" s="10">
        <f>Order_Table[[#This Row],[Order Amount]]*Order_Table[[#This Row],[Quantity]]</f>
        <v>528</v>
      </c>
      <c r="I8" s="1">
        <f>YEAR(Order_Table[[#This Row],[Date]])</f>
        <v>2026</v>
      </c>
      <c r="J8" s="1" t="str">
        <f>TEXT(Order_Table[[#This Row],[Date]],"mmm")</f>
        <v>Jan</v>
      </c>
      <c r="K8" s="1">
        <f>DAY(Order_Table[[#This Row],[Date]])</f>
        <v>13</v>
      </c>
    </row>
    <row r="9" spans="1:11" x14ac:dyDescent="0.25">
      <c r="A9" s="3" t="s">
        <v>15</v>
      </c>
      <c r="B9" s="4">
        <v>46037</v>
      </c>
      <c r="C9" s="6">
        <v>91</v>
      </c>
      <c r="D9" s="8">
        <v>6</v>
      </c>
      <c r="E9" s="3" t="s">
        <v>7</v>
      </c>
      <c r="F9" s="3" t="s">
        <v>78</v>
      </c>
      <c r="G9" s="18" t="s">
        <v>113</v>
      </c>
      <c r="H9" s="10">
        <f>Order_Table[[#This Row],[Order Amount]]*Order_Table[[#This Row],[Quantity]]</f>
        <v>546</v>
      </c>
      <c r="I9" s="1">
        <f>YEAR(Order_Table[[#This Row],[Date]])</f>
        <v>2026</v>
      </c>
      <c r="J9" s="1" t="str">
        <f>TEXT(Order_Table[[#This Row],[Date]],"mmm")</f>
        <v>Jan</v>
      </c>
      <c r="K9" s="1">
        <f>DAY(Order_Table[[#This Row],[Date]])</f>
        <v>15</v>
      </c>
    </row>
    <row r="10" spans="1:11" x14ac:dyDescent="0.25">
      <c r="A10" s="3" t="s">
        <v>16</v>
      </c>
      <c r="B10" s="4">
        <v>46054</v>
      </c>
      <c r="C10" s="6">
        <v>52</v>
      </c>
      <c r="D10" s="8">
        <v>1</v>
      </c>
      <c r="E10" s="3" t="s">
        <v>14</v>
      </c>
      <c r="F10" s="3" t="s">
        <v>76</v>
      </c>
      <c r="G10" s="18" t="s">
        <v>114</v>
      </c>
      <c r="H10" s="10">
        <f>Order_Table[[#This Row],[Order Amount]]*Order_Table[[#This Row],[Quantity]]</f>
        <v>52</v>
      </c>
      <c r="I10" s="1">
        <f>YEAR(Order_Table[[#This Row],[Date]])</f>
        <v>2026</v>
      </c>
      <c r="J10" s="1" t="str">
        <f>TEXT(Order_Table[[#This Row],[Date]],"mmm")</f>
        <v>Feb</v>
      </c>
      <c r="K10" s="1">
        <f>DAY(Order_Table[[#This Row],[Date]])</f>
        <v>1</v>
      </c>
    </row>
    <row r="11" spans="1:11" x14ac:dyDescent="0.25">
      <c r="A11" s="3" t="s">
        <v>17</v>
      </c>
      <c r="B11" s="4">
        <v>46056</v>
      </c>
      <c r="C11" s="6">
        <v>91</v>
      </c>
      <c r="D11" s="8">
        <v>5</v>
      </c>
      <c r="E11" s="3" t="s">
        <v>11</v>
      </c>
      <c r="F11" s="3" t="s">
        <v>79</v>
      </c>
      <c r="G11" s="18" t="s">
        <v>116</v>
      </c>
      <c r="H11" s="10">
        <f>Order_Table[[#This Row],[Order Amount]]*Order_Table[[#This Row],[Quantity]]</f>
        <v>455</v>
      </c>
      <c r="I11" s="1">
        <f>YEAR(Order_Table[[#This Row],[Date]])</f>
        <v>2026</v>
      </c>
      <c r="J11" s="1" t="str">
        <f>TEXT(Order_Table[[#This Row],[Date]],"mmm")</f>
        <v>Feb</v>
      </c>
      <c r="K11" s="1">
        <f>DAY(Order_Table[[#This Row],[Date]])</f>
        <v>3</v>
      </c>
    </row>
    <row r="12" spans="1:11" x14ac:dyDescent="0.25">
      <c r="A12" s="3" t="s">
        <v>18</v>
      </c>
      <c r="B12" s="4">
        <v>46058</v>
      </c>
      <c r="C12" s="6">
        <v>111</v>
      </c>
      <c r="D12" s="8">
        <v>8</v>
      </c>
      <c r="E12" s="3" t="s">
        <v>14</v>
      </c>
      <c r="F12" s="3" t="s">
        <v>76</v>
      </c>
      <c r="G12" s="18" t="s">
        <v>117</v>
      </c>
      <c r="H12" s="10">
        <f>Order_Table[[#This Row],[Order Amount]]*Order_Table[[#This Row],[Quantity]]</f>
        <v>888</v>
      </c>
      <c r="I12" s="1">
        <f>YEAR(Order_Table[[#This Row],[Date]])</f>
        <v>2026</v>
      </c>
      <c r="J12" s="1" t="str">
        <f>TEXT(Order_Table[[#This Row],[Date]],"mmm")</f>
        <v>Feb</v>
      </c>
      <c r="K12" s="1">
        <f>DAY(Order_Table[[#This Row],[Date]])</f>
        <v>5</v>
      </c>
    </row>
    <row r="13" spans="1:11" x14ac:dyDescent="0.25">
      <c r="A13" s="3" t="s">
        <v>20</v>
      </c>
      <c r="B13" s="4">
        <v>46060</v>
      </c>
      <c r="C13" s="6">
        <v>83</v>
      </c>
      <c r="D13" s="8">
        <v>7</v>
      </c>
      <c r="E13" s="3" t="s">
        <v>7</v>
      </c>
      <c r="F13" s="3" t="s">
        <v>77</v>
      </c>
      <c r="G13" s="18" t="s">
        <v>118</v>
      </c>
      <c r="H13" s="10">
        <f>Order_Table[[#This Row],[Order Amount]]*Order_Table[[#This Row],[Quantity]]</f>
        <v>581</v>
      </c>
      <c r="I13" s="1">
        <f>YEAR(Order_Table[[#This Row],[Date]])</f>
        <v>2026</v>
      </c>
      <c r="J13" s="1" t="str">
        <f>TEXT(Order_Table[[#This Row],[Date]],"mmm")</f>
        <v>Feb</v>
      </c>
      <c r="K13" s="1">
        <f>DAY(Order_Table[[#This Row],[Date]])</f>
        <v>7</v>
      </c>
    </row>
    <row r="14" spans="1:11" x14ac:dyDescent="0.25">
      <c r="A14" s="3" t="s">
        <v>21</v>
      </c>
      <c r="B14" s="4">
        <v>46062</v>
      </c>
      <c r="C14" s="6">
        <v>107</v>
      </c>
      <c r="D14" s="8">
        <v>8</v>
      </c>
      <c r="E14" s="3" t="s">
        <v>11</v>
      </c>
      <c r="F14" s="3" t="s">
        <v>78</v>
      </c>
      <c r="G14" s="18" t="s">
        <v>119</v>
      </c>
      <c r="H14" s="10">
        <f>Order_Table[[#This Row],[Order Amount]]*Order_Table[[#This Row],[Quantity]]</f>
        <v>856</v>
      </c>
      <c r="I14" s="1">
        <f>YEAR(Order_Table[[#This Row],[Date]])</f>
        <v>2026</v>
      </c>
      <c r="J14" s="1" t="str">
        <f>TEXT(Order_Table[[#This Row],[Date]],"mmm")</f>
        <v>Feb</v>
      </c>
      <c r="K14" s="1">
        <f>DAY(Order_Table[[#This Row],[Date]])</f>
        <v>9</v>
      </c>
    </row>
    <row r="15" spans="1:11" x14ac:dyDescent="0.25">
      <c r="A15" s="3" t="s">
        <v>22</v>
      </c>
      <c r="B15" s="4">
        <v>46064</v>
      </c>
      <c r="C15" s="6">
        <v>89</v>
      </c>
      <c r="D15" s="8">
        <v>6</v>
      </c>
      <c r="E15" s="3" t="s">
        <v>14</v>
      </c>
      <c r="F15" s="3" t="s">
        <v>76</v>
      </c>
      <c r="G15" s="18" t="s">
        <v>120</v>
      </c>
      <c r="H15" s="10">
        <f>Order_Table[[#This Row],[Order Amount]]*Order_Table[[#This Row],[Quantity]]</f>
        <v>534</v>
      </c>
      <c r="I15" s="1">
        <f>YEAR(Order_Table[[#This Row],[Date]])</f>
        <v>2026</v>
      </c>
      <c r="J15" s="1" t="str">
        <f>TEXT(Order_Table[[#This Row],[Date]],"mmm")</f>
        <v>Feb</v>
      </c>
      <c r="K15" s="1">
        <f>DAY(Order_Table[[#This Row],[Date]])</f>
        <v>11</v>
      </c>
    </row>
    <row r="16" spans="1:11" x14ac:dyDescent="0.25">
      <c r="A16" s="3" t="s">
        <v>23</v>
      </c>
      <c r="B16" s="4">
        <v>46066</v>
      </c>
      <c r="C16" s="6">
        <v>70</v>
      </c>
      <c r="D16" s="8">
        <v>4</v>
      </c>
      <c r="E16" s="3" t="s">
        <v>5</v>
      </c>
      <c r="F16" s="3" t="s">
        <v>79</v>
      </c>
      <c r="G16" s="18" t="s">
        <v>121</v>
      </c>
      <c r="H16" s="10">
        <f>Order_Table[[#This Row],[Order Amount]]*Order_Table[[#This Row],[Quantity]]</f>
        <v>280</v>
      </c>
      <c r="I16" s="1">
        <f>YEAR(Order_Table[[#This Row],[Date]])</f>
        <v>2026</v>
      </c>
      <c r="J16" s="1" t="str">
        <f>TEXT(Order_Table[[#This Row],[Date]],"mmm")</f>
        <v>Feb</v>
      </c>
      <c r="K16" s="1">
        <f>DAY(Order_Table[[#This Row],[Date]])</f>
        <v>13</v>
      </c>
    </row>
    <row r="17" spans="1:11" x14ac:dyDescent="0.25">
      <c r="A17" s="3" t="s">
        <v>24</v>
      </c>
      <c r="B17" s="4">
        <v>46082</v>
      </c>
      <c r="C17" s="6">
        <v>138</v>
      </c>
      <c r="D17" s="8">
        <v>2</v>
      </c>
      <c r="E17" s="3" t="s">
        <v>14</v>
      </c>
      <c r="F17" s="3" t="s">
        <v>78</v>
      </c>
      <c r="G17" s="17" t="s">
        <v>107</v>
      </c>
      <c r="H17" s="10">
        <f>Order_Table[[#This Row],[Order Amount]]*Order_Table[[#This Row],[Quantity]]</f>
        <v>276</v>
      </c>
      <c r="I17" s="1">
        <f>YEAR(Order_Table[[#This Row],[Date]])</f>
        <v>2026</v>
      </c>
      <c r="J17" s="1" t="str">
        <f>TEXT(Order_Table[[#This Row],[Date]],"mmm")</f>
        <v>Mar</v>
      </c>
      <c r="K17" s="1">
        <f>DAY(Order_Table[[#This Row],[Date]])</f>
        <v>1</v>
      </c>
    </row>
    <row r="18" spans="1:11" x14ac:dyDescent="0.25">
      <c r="A18" s="3" t="s">
        <v>25</v>
      </c>
      <c r="B18" s="4">
        <v>46084</v>
      </c>
      <c r="C18" s="6">
        <v>88</v>
      </c>
      <c r="D18" s="8">
        <v>5</v>
      </c>
      <c r="E18" s="3" t="s">
        <v>11</v>
      </c>
      <c r="F18" s="3" t="s">
        <v>76</v>
      </c>
      <c r="G18" s="17" t="s">
        <v>108</v>
      </c>
      <c r="H18" s="10">
        <f>Order_Table[[#This Row],[Order Amount]]*Order_Table[[#This Row],[Quantity]]</f>
        <v>440</v>
      </c>
      <c r="I18" s="1">
        <f>YEAR(Order_Table[[#This Row],[Date]])</f>
        <v>2026</v>
      </c>
      <c r="J18" s="1" t="str">
        <f>TEXT(Order_Table[[#This Row],[Date]],"mmm")</f>
        <v>Mar</v>
      </c>
      <c r="K18" s="1">
        <f>DAY(Order_Table[[#This Row],[Date]])</f>
        <v>3</v>
      </c>
    </row>
    <row r="19" spans="1:11" x14ac:dyDescent="0.25">
      <c r="A19" s="3" t="s">
        <v>26</v>
      </c>
      <c r="B19" s="4">
        <v>46086</v>
      </c>
      <c r="C19" s="6">
        <v>72</v>
      </c>
      <c r="D19" s="8">
        <v>7</v>
      </c>
      <c r="E19" s="3" t="s">
        <v>7</v>
      </c>
      <c r="F19" s="3" t="s">
        <v>77</v>
      </c>
      <c r="G19" s="17" t="s">
        <v>109</v>
      </c>
      <c r="H19" s="10">
        <f>Order_Table[[#This Row],[Order Amount]]*Order_Table[[#This Row],[Quantity]]</f>
        <v>504</v>
      </c>
      <c r="I19" s="1">
        <f>YEAR(Order_Table[[#This Row],[Date]])</f>
        <v>2026</v>
      </c>
      <c r="J19" s="1" t="str">
        <f>TEXT(Order_Table[[#This Row],[Date]],"mmm")</f>
        <v>Mar</v>
      </c>
      <c r="K19" s="1">
        <f>DAY(Order_Table[[#This Row],[Date]])</f>
        <v>5</v>
      </c>
    </row>
    <row r="20" spans="1:11" x14ac:dyDescent="0.25">
      <c r="A20" s="3" t="s">
        <v>27</v>
      </c>
      <c r="B20" s="4">
        <v>46088</v>
      </c>
      <c r="C20" s="6">
        <v>130</v>
      </c>
      <c r="D20" s="8">
        <v>8</v>
      </c>
      <c r="E20" s="3" t="s">
        <v>14</v>
      </c>
      <c r="F20" s="3" t="s">
        <v>76</v>
      </c>
      <c r="G20" s="17" t="s">
        <v>110</v>
      </c>
      <c r="H20" s="10">
        <f>Order_Table[[#This Row],[Order Amount]]*Order_Table[[#This Row],[Quantity]]</f>
        <v>1040</v>
      </c>
      <c r="I20" s="1">
        <f>YEAR(Order_Table[[#This Row],[Date]])</f>
        <v>2026</v>
      </c>
      <c r="J20" s="1" t="str">
        <f>TEXT(Order_Table[[#This Row],[Date]],"mmm")</f>
        <v>Mar</v>
      </c>
      <c r="K20" s="1">
        <f>DAY(Order_Table[[#This Row],[Date]])</f>
        <v>7</v>
      </c>
    </row>
    <row r="21" spans="1:11" x14ac:dyDescent="0.25">
      <c r="A21" s="3" t="s">
        <v>28</v>
      </c>
      <c r="B21" s="4">
        <v>46090</v>
      </c>
      <c r="C21" s="6">
        <v>152</v>
      </c>
      <c r="D21" s="8">
        <v>4</v>
      </c>
      <c r="E21" s="3" t="s">
        <v>11</v>
      </c>
      <c r="F21" s="3" t="s">
        <v>78</v>
      </c>
      <c r="G21" s="18" t="s">
        <v>115</v>
      </c>
      <c r="H21" s="10">
        <f>Order_Table[[#This Row],[Order Amount]]*Order_Table[[#This Row],[Quantity]]</f>
        <v>608</v>
      </c>
      <c r="I21" s="1">
        <f>YEAR(Order_Table[[#This Row],[Date]])</f>
        <v>2026</v>
      </c>
      <c r="J21" s="1" t="str">
        <f>TEXT(Order_Table[[#This Row],[Date]],"mmm")</f>
        <v>Mar</v>
      </c>
      <c r="K21" s="1">
        <f>DAY(Order_Table[[#This Row],[Date]])</f>
        <v>9</v>
      </c>
    </row>
    <row r="22" spans="1:11" x14ac:dyDescent="0.25">
      <c r="A22" s="3" t="s">
        <v>29</v>
      </c>
      <c r="B22" s="4">
        <v>46092</v>
      </c>
      <c r="C22" s="6">
        <v>64</v>
      </c>
      <c r="D22" s="8">
        <v>5</v>
      </c>
      <c r="E22" s="3" t="s">
        <v>14</v>
      </c>
      <c r="F22" s="3" t="s">
        <v>77</v>
      </c>
      <c r="G22" s="17" t="s">
        <v>111</v>
      </c>
      <c r="H22" s="10">
        <f>Order_Table[[#This Row],[Order Amount]]*Order_Table[[#This Row],[Quantity]]</f>
        <v>320</v>
      </c>
      <c r="I22" s="1">
        <f>YEAR(Order_Table[[#This Row],[Date]])</f>
        <v>2026</v>
      </c>
      <c r="J22" s="1" t="str">
        <f>TEXT(Order_Table[[#This Row],[Date]],"mmm")</f>
        <v>Mar</v>
      </c>
      <c r="K22" s="1">
        <f>DAY(Order_Table[[#This Row],[Date]])</f>
        <v>11</v>
      </c>
    </row>
    <row r="23" spans="1:11" x14ac:dyDescent="0.25">
      <c r="A23" s="3" t="s">
        <v>31</v>
      </c>
      <c r="B23" s="4">
        <v>46094</v>
      </c>
      <c r="C23" s="6">
        <v>125</v>
      </c>
      <c r="D23" s="8">
        <v>6</v>
      </c>
      <c r="E23" s="3" t="s">
        <v>7</v>
      </c>
      <c r="F23" s="3" t="s">
        <v>76</v>
      </c>
      <c r="G23" s="17" t="s">
        <v>112</v>
      </c>
      <c r="H23" s="10">
        <f>Order_Table[[#This Row],[Order Amount]]*Order_Table[[#This Row],[Quantity]]</f>
        <v>750</v>
      </c>
      <c r="I23" s="1">
        <f>YEAR(Order_Table[[#This Row],[Date]])</f>
        <v>2026</v>
      </c>
      <c r="J23" s="1" t="str">
        <f>TEXT(Order_Table[[#This Row],[Date]],"mmm")</f>
        <v>Mar</v>
      </c>
      <c r="K23" s="1">
        <f>DAY(Order_Table[[#This Row],[Date]])</f>
        <v>13</v>
      </c>
    </row>
    <row r="24" spans="1:11" x14ac:dyDescent="0.25">
      <c r="A24" s="3" t="s">
        <v>32</v>
      </c>
      <c r="B24" s="4">
        <v>46114</v>
      </c>
      <c r="C24" s="6">
        <v>99</v>
      </c>
      <c r="D24" s="8">
        <v>1</v>
      </c>
      <c r="E24" s="3" t="s">
        <v>11</v>
      </c>
      <c r="F24" s="3" t="s">
        <v>79</v>
      </c>
      <c r="G24" s="18" t="s">
        <v>113</v>
      </c>
      <c r="H24" s="10">
        <f>Order_Table[[#This Row],[Order Amount]]*Order_Table[[#This Row],[Quantity]]</f>
        <v>99</v>
      </c>
      <c r="I24" s="1">
        <f>YEAR(Order_Table[[#This Row],[Date]])</f>
        <v>2026</v>
      </c>
      <c r="J24" s="1" t="str">
        <f>TEXT(Order_Table[[#This Row],[Date]],"mmm")</f>
        <v>Apr</v>
      </c>
      <c r="K24" s="1">
        <f>DAY(Order_Table[[#This Row],[Date]])</f>
        <v>2</v>
      </c>
    </row>
    <row r="25" spans="1:11" x14ac:dyDescent="0.25">
      <c r="A25" s="3" t="s">
        <v>33</v>
      </c>
      <c r="B25" s="4">
        <v>46116</v>
      </c>
      <c r="C25" s="6">
        <v>67</v>
      </c>
      <c r="D25" s="8">
        <v>5</v>
      </c>
      <c r="E25" s="3" t="s">
        <v>14</v>
      </c>
      <c r="F25" s="3" t="s">
        <v>78</v>
      </c>
      <c r="G25" s="18" t="s">
        <v>114</v>
      </c>
      <c r="H25" s="10">
        <f>Order_Table[[#This Row],[Order Amount]]*Order_Table[[#This Row],[Quantity]]</f>
        <v>335</v>
      </c>
      <c r="I25" s="1">
        <f>YEAR(Order_Table[[#This Row],[Date]])</f>
        <v>2026</v>
      </c>
      <c r="J25" s="1" t="str">
        <f>TEXT(Order_Table[[#This Row],[Date]],"mmm")</f>
        <v>Apr</v>
      </c>
      <c r="K25" s="1">
        <f>DAY(Order_Table[[#This Row],[Date]])</f>
        <v>4</v>
      </c>
    </row>
    <row r="26" spans="1:11" x14ac:dyDescent="0.25">
      <c r="A26" s="3" t="s">
        <v>34</v>
      </c>
      <c r="B26" s="4">
        <v>46118</v>
      </c>
      <c r="C26" s="6">
        <v>112</v>
      </c>
      <c r="D26" s="8">
        <v>8</v>
      </c>
      <c r="E26" s="3" t="s">
        <v>5</v>
      </c>
      <c r="F26" s="3" t="s">
        <v>76</v>
      </c>
      <c r="G26" s="18" t="s">
        <v>116</v>
      </c>
      <c r="H26" s="10">
        <f>Order_Table[[#This Row],[Order Amount]]*Order_Table[[#This Row],[Quantity]]</f>
        <v>896</v>
      </c>
      <c r="I26" s="1">
        <f>YEAR(Order_Table[[#This Row],[Date]])</f>
        <v>2026</v>
      </c>
      <c r="J26" s="1" t="str">
        <f>TEXT(Order_Table[[#This Row],[Date]],"mmm")</f>
        <v>Apr</v>
      </c>
      <c r="K26" s="1">
        <f>DAY(Order_Table[[#This Row],[Date]])</f>
        <v>6</v>
      </c>
    </row>
    <row r="27" spans="1:11" x14ac:dyDescent="0.25">
      <c r="A27" s="3" t="s">
        <v>35</v>
      </c>
      <c r="B27" s="4">
        <v>46120</v>
      </c>
      <c r="C27" s="6">
        <v>87</v>
      </c>
      <c r="D27" s="8">
        <v>1</v>
      </c>
      <c r="E27" s="3" t="s">
        <v>11</v>
      </c>
      <c r="F27" s="3" t="s">
        <v>77</v>
      </c>
      <c r="G27" s="18" t="s">
        <v>117</v>
      </c>
      <c r="H27" s="10">
        <f>Order_Table[[#This Row],[Order Amount]]*Order_Table[[#This Row],[Quantity]]</f>
        <v>87</v>
      </c>
      <c r="I27" s="1">
        <f>YEAR(Order_Table[[#This Row],[Date]])</f>
        <v>2026</v>
      </c>
      <c r="J27" s="1" t="str">
        <f>TEXT(Order_Table[[#This Row],[Date]],"mmm")</f>
        <v>Apr</v>
      </c>
      <c r="K27" s="1">
        <f>DAY(Order_Table[[#This Row],[Date]])</f>
        <v>8</v>
      </c>
    </row>
    <row r="28" spans="1:11" x14ac:dyDescent="0.25">
      <c r="A28" s="3" t="s">
        <v>36</v>
      </c>
      <c r="B28" s="4">
        <v>46135</v>
      </c>
      <c r="C28" s="6">
        <v>121</v>
      </c>
      <c r="D28" s="8">
        <v>3</v>
      </c>
      <c r="E28" s="3" t="s">
        <v>14</v>
      </c>
      <c r="F28" s="3" t="s">
        <v>76</v>
      </c>
      <c r="G28" s="18" t="s">
        <v>118</v>
      </c>
      <c r="H28" s="10">
        <f>Order_Table[[#This Row],[Order Amount]]*Order_Table[[#This Row],[Quantity]]</f>
        <v>363</v>
      </c>
      <c r="I28" s="1">
        <f>YEAR(Order_Table[[#This Row],[Date]])</f>
        <v>2026</v>
      </c>
      <c r="J28" s="1" t="str">
        <f>TEXT(Order_Table[[#This Row],[Date]],"mmm")</f>
        <v>Apr</v>
      </c>
      <c r="K28" s="1">
        <f>DAY(Order_Table[[#This Row],[Date]])</f>
        <v>23</v>
      </c>
    </row>
    <row r="29" spans="1:11" x14ac:dyDescent="0.25">
      <c r="A29" s="3" t="s">
        <v>37</v>
      </c>
      <c r="B29" s="4">
        <v>46137</v>
      </c>
      <c r="C29" s="6">
        <v>114</v>
      </c>
      <c r="D29" s="8">
        <v>5</v>
      </c>
      <c r="E29" s="3" t="s">
        <v>7</v>
      </c>
      <c r="F29" s="3" t="s">
        <v>78</v>
      </c>
      <c r="G29" s="18" t="s">
        <v>119</v>
      </c>
      <c r="H29" s="10">
        <f>Order_Table[[#This Row],[Order Amount]]*Order_Table[[#This Row],[Quantity]]</f>
        <v>570</v>
      </c>
      <c r="I29" s="1">
        <f>YEAR(Order_Table[[#This Row],[Date]])</f>
        <v>2026</v>
      </c>
      <c r="J29" s="1" t="str">
        <f>TEXT(Order_Table[[#This Row],[Date]],"mmm")</f>
        <v>Apr</v>
      </c>
      <c r="K29" s="1">
        <f>DAY(Order_Table[[#This Row],[Date]])</f>
        <v>25</v>
      </c>
    </row>
    <row r="30" spans="1:11" x14ac:dyDescent="0.25">
      <c r="A30" s="3" t="s">
        <v>38</v>
      </c>
      <c r="B30" s="4">
        <v>46139</v>
      </c>
      <c r="C30" s="6">
        <v>70</v>
      </c>
      <c r="D30" s="8">
        <v>4</v>
      </c>
      <c r="E30" s="3" t="s">
        <v>14</v>
      </c>
      <c r="F30" s="3" t="s">
        <v>79</v>
      </c>
      <c r="G30" s="18" t="s">
        <v>120</v>
      </c>
      <c r="H30" s="10">
        <f>Order_Table[[#This Row],[Order Amount]]*Order_Table[[#This Row],[Quantity]]</f>
        <v>280</v>
      </c>
      <c r="I30" s="1">
        <f>YEAR(Order_Table[[#This Row],[Date]])</f>
        <v>2026</v>
      </c>
      <c r="J30" s="1" t="str">
        <f>TEXT(Order_Table[[#This Row],[Date]],"mmm")</f>
        <v>Apr</v>
      </c>
      <c r="K30" s="1">
        <f>DAY(Order_Table[[#This Row],[Date]])</f>
        <v>27</v>
      </c>
    </row>
    <row r="31" spans="1:11" x14ac:dyDescent="0.25">
      <c r="A31" s="3" t="s">
        <v>39</v>
      </c>
      <c r="B31" s="4">
        <v>46143</v>
      </c>
      <c r="C31" s="6">
        <v>131</v>
      </c>
      <c r="D31" s="8">
        <v>8</v>
      </c>
      <c r="E31" s="3" t="s">
        <v>11</v>
      </c>
      <c r="F31" s="3" t="s">
        <v>76</v>
      </c>
      <c r="G31" s="18" t="s">
        <v>121</v>
      </c>
      <c r="H31" s="10">
        <f>Order_Table[[#This Row],[Order Amount]]*Order_Table[[#This Row],[Quantity]]</f>
        <v>1048</v>
      </c>
      <c r="I31" s="1">
        <f>YEAR(Order_Table[[#This Row],[Date]])</f>
        <v>2026</v>
      </c>
      <c r="J31" s="1" t="str">
        <f>TEXT(Order_Table[[#This Row],[Date]],"mmm")</f>
        <v>May</v>
      </c>
      <c r="K31" s="1">
        <f>DAY(Order_Table[[#This Row],[Date]])</f>
        <v>1</v>
      </c>
    </row>
    <row r="32" spans="1:11" x14ac:dyDescent="0.25">
      <c r="A32" s="3" t="s">
        <v>40</v>
      </c>
      <c r="B32" s="4">
        <v>46145</v>
      </c>
      <c r="C32" s="6">
        <v>122</v>
      </c>
      <c r="D32" s="8">
        <v>6</v>
      </c>
      <c r="E32" s="3" t="s">
        <v>14</v>
      </c>
      <c r="F32" s="3" t="s">
        <v>78</v>
      </c>
      <c r="G32" s="17" t="s">
        <v>107</v>
      </c>
      <c r="H32" s="10">
        <f>Order_Table[[#This Row],[Order Amount]]*Order_Table[[#This Row],[Quantity]]</f>
        <v>732</v>
      </c>
      <c r="I32" s="1">
        <f>YEAR(Order_Table[[#This Row],[Date]])</f>
        <v>2026</v>
      </c>
      <c r="J32" s="1" t="str">
        <f>TEXT(Order_Table[[#This Row],[Date]],"mmm")</f>
        <v>May</v>
      </c>
      <c r="K32" s="1">
        <f>DAY(Order_Table[[#This Row],[Date]])</f>
        <v>3</v>
      </c>
    </row>
    <row r="33" spans="1:11" x14ac:dyDescent="0.25">
      <c r="A33" s="3" t="s">
        <v>42</v>
      </c>
      <c r="B33" s="4">
        <v>46147</v>
      </c>
      <c r="C33" s="6">
        <v>138</v>
      </c>
      <c r="D33" s="8">
        <v>2</v>
      </c>
      <c r="E33" s="3" t="s">
        <v>11</v>
      </c>
      <c r="F33" s="3" t="s">
        <v>76</v>
      </c>
      <c r="G33" s="17" t="s">
        <v>108</v>
      </c>
      <c r="H33" s="10">
        <f>Order_Table[[#This Row],[Order Amount]]*Order_Table[[#This Row],[Quantity]]</f>
        <v>276</v>
      </c>
      <c r="I33" s="1">
        <f>YEAR(Order_Table[[#This Row],[Date]])</f>
        <v>2026</v>
      </c>
      <c r="J33" s="1" t="str">
        <f>TEXT(Order_Table[[#This Row],[Date]],"mmm")</f>
        <v>May</v>
      </c>
      <c r="K33" s="1">
        <f>DAY(Order_Table[[#This Row],[Date]])</f>
        <v>5</v>
      </c>
    </row>
    <row r="34" spans="1:11" x14ac:dyDescent="0.25">
      <c r="A34" s="3" t="s">
        <v>43</v>
      </c>
      <c r="B34" s="4">
        <v>46149</v>
      </c>
      <c r="C34" s="6">
        <v>110</v>
      </c>
      <c r="D34" s="8">
        <v>1</v>
      </c>
      <c r="E34" s="3" t="s">
        <v>7</v>
      </c>
      <c r="F34" s="3" t="s">
        <v>77</v>
      </c>
      <c r="G34" s="17" t="s">
        <v>109</v>
      </c>
      <c r="H34" s="10">
        <f>Order_Table[[#This Row],[Order Amount]]*Order_Table[[#This Row],[Quantity]]</f>
        <v>110</v>
      </c>
      <c r="I34" s="1">
        <f>YEAR(Order_Table[[#This Row],[Date]])</f>
        <v>2026</v>
      </c>
      <c r="J34" s="1" t="str">
        <f>TEXT(Order_Table[[#This Row],[Date]],"mmm")</f>
        <v>May</v>
      </c>
      <c r="K34" s="1">
        <f>DAY(Order_Table[[#This Row],[Date]])</f>
        <v>7</v>
      </c>
    </row>
    <row r="35" spans="1:11" x14ac:dyDescent="0.25">
      <c r="A35" s="3" t="s">
        <v>44</v>
      </c>
      <c r="B35" s="4">
        <v>46151</v>
      </c>
      <c r="C35" s="6">
        <v>130</v>
      </c>
      <c r="D35" s="8">
        <v>4</v>
      </c>
      <c r="E35" s="3" t="s">
        <v>14</v>
      </c>
      <c r="F35" s="3" t="s">
        <v>76</v>
      </c>
      <c r="G35" s="17" t="s">
        <v>110</v>
      </c>
      <c r="H35" s="10">
        <f>Order_Table[[#This Row],[Order Amount]]*Order_Table[[#This Row],[Quantity]]</f>
        <v>520</v>
      </c>
      <c r="I35" s="1">
        <f>YEAR(Order_Table[[#This Row],[Date]])</f>
        <v>2026</v>
      </c>
      <c r="J35" s="1" t="str">
        <f>TEXT(Order_Table[[#This Row],[Date]],"mmm")</f>
        <v>May</v>
      </c>
      <c r="K35" s="1">
        <f>DAY(Order_Table[[#This Row],[Date]])</f>
        <v>9</v>
      </c>
    </row>
    <row r="36" spans="1:11" x14ac:dyDescent="0.25">
      <c r="A36" s="3" t="s">
        <v>45</v>
      </c>
      <c r="B36" s="4">
        <v>46165</v>
      </c>
      <c r="C36" s="6">
        <v>63</v>
      </c>
      <c r="D36" s="8">
        <v>5</v>
      </c>
      <c r="E36" s="3" t="s">
        <v>5</v>
      </c>
      <c r="F36" s="3" t="s">
        <v>79</v>
      </c>
      <c r="G36" s="18" t="s">
        <v>115</v>
      </c>
      <c r="H36" s="10">
        <f>Order_Table[[#This Row],[Order Amount]]*Order_Table[[#This Row],[Quantity]]</f>
        <v>315</v>
      </c>
      <c r="I36" s="1">
        <f>YEAR(Order_Table[[#This Row],[Date]])</f>
        <v>2026</v>
      </c>
      <c r="J36" s="1" t="str">
        <f>TEXT(Order_Table[[#This Row],[Date]],"mmm")</f>
        <v>May</v>
      </c>
      <c r="K36" s="1">
        <f>DAY(Order_Table[[#This Row],[Date]])</f>
        <v>23</v>
      </c>
    </row>
    <row r="37" spans="1:11" x14ac:dyDescent="0.25">
      <c r="A37" s="3" t="s">
        <v>46</v>
      </c>
      <c r="B37" s="4">
        <v>46167</v>
      </c>
      <c r="C37" s="6">
        <v>143</v>
      </c>
      <c r="D37" s="8">
        <v>8</v>
      </c>
      <c r="E37" s="3" t="s">
        <v>14</v>
      </c>
      <c r="F37" s="3" t="s">
        <v>78</v>
      </c>
      <c r="G37" s="17" t="s">
        <v>111</v>
      </c>
      <c r="H37" s="10">
        <f>Order_Table[[#This Row],[Order Amount]]*Order_Table[[#This Row],[Quantity]]</f>
        <v>1144</v>
      </c>
      <c r="I37" s="1">
        <f>YEAR(Order_Table[[#This Row],[Date]])</f>
        <v>2026</v>
      </c>
      <c r="J37" s="1" t="str">
        <f>TEXT(Order_Table[[#This Row],[Date]],"mmm")</f>
        <v>May</v>
      </c>
      <c r="K37" s="1">
        <f>DAY(Order_Table[[#This Row],[Date]])</f>
        <v>25</v>
      </c>
    </row>
    <row r="38" spans="1:11" x14ac:dyDescent="0.25">
      <c r="A38" s="3" t="s">
        <v>47</v>
      </c>
      <c r="B38" s="4">
        <v>46169</v>
      </c>
      <c r="C38" s="6">
        <v>153</v>
      </c>
      <c r="D38" s="8">
        <v>2</v>
      </c>
      <c r="E38" s="3" t="s">
        <v>11</v>
      </c>
      <c r="F38" s="3" t="s">
        <v>76</v>
      </c>
      <c r="G38" s="17" t="s">
        <v>112</v>
      </c>
      <c r="H38" s="10">
        <f>Order_Table[[#This Row],[Order Amount]]*Order_Table[[#This Row],[Quantity]]</f>
        <v>306</v>
      </c>
      <c r="I38" s="1">
        <f>YEAR(Order_Table[[#This Row],[Date]])</f>
        <v>2026</v>
      </c>
      <c r="J38" s="1" t="str">
        <f>TEXT(Order_Table[[#This Row],[Date]],"mmm")</f>
        <v>May</v>
      </c>
      <c r="K38" s="1">
        <f>DAY(Order_Table[[#This Row],[Date]])</f>
        <v>27</v>
      </c>
    </row>
    <row r="39" spans="1:11" x14ac:dyDescent="0.25">
      <c r="A39" s="3" t="s">
        <v>48</v>
      </c>
      <c r="B39" s="4">
        <v>46174</v>
      </c>
      <c r="C39" s="6">
        <v>70</v>
      </c>
      <c r="D39" s="8">
        <v>1</v>
      </c>
      <c r="E39" s="3" t="s">
        <v>7</v>
      </c>
      <c r="F39" s="3" t="s">
        <v>77</v>
      </c>
      <c r="G39" s="18" t="s">
        <v>113</v>
      </c>
      <c r="H39" s="10">
        <f>Order_Table[[#This Row],[Order Amount]]*Order_Table[[#This Row],[Quantity]]</f>
        <v>70</v>
      </c>
      <c r="I39" s="1">
        <f>YEAR(Order_Table[[#This Row],[Date]])</f>
        <v>2026</v>
      </c>
      <c r="J39" s="1" t="str">
        <f>TEXT(Order_Table[[#This Row],[Date]],"mmm")</f>
        <v>Jun</v>
      </c>
      <c r="K39" s="1">
        <f>DAY(Order_Table[[#This Row],[Date]])</f>
        <v>1</v>
      </c>
    </row>
    <row r="40" spans="1:11" x14ac:dyDescent="0.25">
      <c r="A40" s="3" t="s">
        <v>49</v>
      </c>
      <c r="B40" s="4">
        <v>46176</v>
      </c>
      <c r="C40" s="6">
        <v>85</v>
      </c>
      <c r="D40" s="8">
        <v>4</v>
      </c>
      <c r="E40" s="3" t="s">
        <v>14</v>
      </c>
      <c r="F40" s="3" t="s">
        <v>76</v>
      </c>
      <c r="G40" s="18" t="s">
        <v>114</v>
      </c>
      <c r="H40" s="10">
        <f>Order_Table[[#This Row],[Order Amount]]*Order_Table[[#This Row],[Quantity]]</f>
        <v>340</v>
      </c>
      <c r="I40" s="1">
        <f>YEAR(Order_Table[[#This Row],[Date]])</f>
        <v>2026</v>
      </c>
      <c r="J40" s="1" t="str">
        <f>TEXT(Order_Table[[#This Row],[Date]],"mmm")</f>
        <v>Jun</v>
      </c>
      <c r="K40" s="1">
        <f>DAY(Order_Table[[#This Row],[Date]])</f>
        <v>3</v>
      </c>
    </row>
    <row r="41" spans="1:11" x14ac:dyDescent="0.25">
      <c r="A41" s="3" t="s">
        <v>50</v>
      </c>
      <c r="B41" s="4">
        <v>46178</v>
      </c>
      <c r="C41" s="6">
        <v>161</v>
      </c>
      <c r="D41" s="8">
        <v>6</v>
      </c>
      <c r="E41" s="3" t="s">
        <v>11</v>
      </c>
      <c r="F41" s="3" t="s">
        <v>78</v>
      </c>
      <c r="G41" s="18" t="s">
        <v>116</v>
      </c>
      <c r="H41" s="10">
        <f>Order_Table[[#This Row],[Order Amount]]*Order_Table[[#This Row],[Quantity]]</f>
        <v>966</v>
      </c>
      <c r="I41" s="1">
        <f>YEAR(Order_Table[[#This Row],[Date]])</f>
        <v>2026</v>
      </c>
      <c r="J41" s="1" t="str">
        <f>TEXT(Order_Table[[#This Row],[Date]],"mmm")</f>
        <v>Jun</v>
      </c>
      <c r="K41" s="1">
        <f>DAY(Order_Table[[#This Row],[Date]])</f>
        <v>5</v>
      </c>
    </row>
    <row r="42" spans="1:11" x14ac:dyDescent="0.25">
      <c r="A42" s="3" t="s">
        <v>51</v>
      </c>
      <c r="B42" s="4">
        <v>46180</v>
      </c>
      <c r="C42" s="6">
        <v>109</v>
      </c>
      <c r="D42" s="8">
        <v>2</v>
      </c>
      <c r="E42" s="3" t="s">
        <v>14</v>
      </c>
      <c r="F42" s="3" t="s">
        <v>76</v>
      </c>
      <c r="G42" s="18" t="s">
        <v>117</v>
      </c>
      <c r="H42" s="10">
        <f>Order_Table[[#This Row],[Order Amount]]*Order_Table[[#This Row],[Quantity]]</f>
        <v>218</v>
      </c>
      <c r="I42" s="1">
        <f>YEAR(Order_Table[[#This Row],[Date]])</f>
        <v>2026</v>
      </c>
      <c r="J42" s="1" t="str">
        <f>TEXT(Order_Table[[#This Row],[Date]],"mmm")</f>
        <v>Jun</v>
      </c>
      <c r="K42" s="1">
        <f>DAY(Order_Table[[#This Row],[Date]])</f>
        <v>7</v>
      </c>
    </row>
    <row r="43" spans="1:11" x14ac:dyDescent="0.25">
      <c r="A43" s="3" t="s">
        <v>53</v>
      </c>
      <c r="B43" s="4">
        <v>46182</v>
      </c>
      <c r="C43" s="6">
        <v>128</v>
      </c>
      <c r="D43" s="8">
        <v>8</v>
      </c>
      <c r="E43" s="3" t="s">
        <v>7</v>
      </c>
      <c r="F43" s="3" t="s">
        <v>77</v>
      </c>
      <c r="G43" s="18" t="s">
        <v>118</v>
      </c>
      <c r="H43" s="10">
        <f>Order_Table[[#This Row],[Order Amount]]*Order_Table[[#This Row],[Quantity]]</f>
        <v>1024</v>
      </c>
      <c r="I43" s="1">
        <f>YEAR(Order_Table[[#This Row],[Date]])</f>
        <v>2026</v>
      </c>
      <c r="J43" s="1" t="str">
        <f>TEXT(Order_Table[[#This Row],[Date]],"mmm")</f>
        <v>Jun</v>
      </c>
      <c r="K43" s="1">
        <f>DAY(Order_Table[[#This Row],[Date]])</f>
        <v>9</v>
      </c>
    </row>
    <row r="44" spans="1:11" x14ac:dyDescent="0.25">
      <c r="A44" s="3" t="s">
        <v>54</v>
      </c>
      <c r="B44" s="4">
        <v>46196</v>
      </c>
      <c r="C44" s="6">
        <v>136</v>
      </c>
      <c r="D44" s="8">
        <v>2</v>
      </c>
      <c r="E44" s="3" t="s">
        <v>11</v>
      </c>
      <c r="F44" s="3" t="s">
        <v>78</v>
      </c>
      <c r="G44" s="18" t="s">
        <v>119</v>
      </c>
      <c r="H44" s="10">
        <f>Order_Table[[#This Row],[Order Amount]]*Order_Table[[#This Row],[Quantity]]</f>
        <v>272</v>
      </c>
      <c r="I44" s="1">
        <f>YEAR(Order_Table[[#This Row],[Date]])</f>
        <v>2026</v>
      </c>
      <c r="J44" s="1" t="str">
        <f>TEXT(Order_Table[[#This Row],[Date]],"mmm")</f>
        <v>Jun</v>
      </c>
      <c r="K44" s="1">
        <f>DAY(Order_Table[[#This Row],[Date]])</f>
        <v>23</v>
      </c>
    </row>
    <row r="45" spans="1:11" x14ac:dyDescent="0.25">
      <c r="A45" s="3" t="s">
        <v>55</v>
      </c>
      <c r="B45" s="4">
        <v>46198</v>
      </c>
      <c r="C45" s="6">
        <v>160</v>
      </c>
      <c r="D45" s="8">
        <v>4</v>
      </c>
      <c r="E45" s="3" t="s">
        <v>14</v>
      </c>
      <c r="F45" s="3" t="s">
        <v>76</v>
      </c>
      <c r="G45" s="18" t="s">
        <v>120</v>
      </c>
      <c r="H45" s="10">
        <f>Order_Table[[#This Row],[Order Amount]]*Order_Table[[#This Row],[Quantity]]</f>
        <v>640</v>
      </c>
      <c r="I45" s="1">
        <f>YEAR(Order_Table[[#This Row],[Date]])</f>
        <v>2026</v>
      </c>
      <c r="J45" s="1" t="str">
        <f>TEXT(Order_Table[[#This Row],[Date]],"mmm")</f>
        <v>Jun</v>
      </c>
      <c r="K45" s="1">
        <f>DAY(Order_Table[[#This Row],[Date]])</f>
        <v>25</v>
      </c>
    </row>
    <row r="46" spans="1:11" x14ac:dyDescent="0.25">
      <c r="A46" s="3" t="s">
        <v>56</v>
      </c>
      <c r="B46" s="4">
        <v>46200</v>
      </c>
      <c r="C46" s="6">
        <v>127</v>
      </c>
      <c r="D46" s="8">
        <v>5</v>
      </c>
      <c r="E46" s="3" t="s">
        <v>5</v>
      </c>
      <c r="F46" s="3" t="s">
        <v>79</v>
      </c>
      <c r="G46" s="18" t="s">
        <v>121</v>
      </c>
      <c r="H46" s="10">
        <f>Order_Table[[#This Row],[Order Amount]]*Order_Table[[#This Row],[Quantity]]</f>
        <v>635</v>
      </c>
      <c r="I46" s="1">
        <f>YEAR(Order_Table[[#This Row],[Date]])</f>
        <v>2026</v>
      </c>
      <c r="J46" s="1" t="str">
        <f>TEXT(Order_Table[[#This Row],[Date]],"mmm")</f>
        <v>Jun</v>
      </c>
      <c r="K46" s="1">
        <f>DAY(Order_Table[[#This Row],[Date]])</f>
        <v>27</v>
      </c>
    </row>
    <row r="47" spans="1:11" x14ac:dyDescent="0.25">
      <c r="A47" s="3" t="s">
        <v>57</v>
      </c>
      <c r="B47" s="4">
        <v>46204</v>
      </c>
      <c r="C47" s="6">
        <v>84</v>
      </c>
      <c r="D47" s="8">
        <v>6</v>
      </c>
      <c r="E47" s="3" t="s">
        <v>11</v>
      </c>
      <c r="F47" s="3" t="s">
        <v>77</v>
      </c>
      <c r="G47" s="17" t="s">
        <v>107</v>
      </c>
      <c r="H47" s="10">
        <f>Order_Table[[#This Row],[Order Amount]]*Order_Table[[#This Row],[Quantity]]</f>
        <v>504</v>
      </c>
      <c r="I47" s="1">
        <f>YEAR(Order_Table[[#This Row],[Date]])</f>
        <v>2026</v>
      </c>
      <c r="J47" s="1" t="str">
        <f>TEXT(Order_Table[[#This Row],[Date]],"mmm")</f>
        <v>Jul</v>
      </c>
      <c r="K47" s="1">
        <f>DAY(Order_Table[[#This Row],[Date]])</f>
        <v>1</v>
      </c>
    </row>
    <row r="48" spans="1:11" x14ac:dyDescent="0.25">
      <c r="A48" s="3" t="s">
        <v>58</v>
      </c>
      <c r="B48" s="4">
        <v>46206</v>
      </c>
      <c r="C48" s="6">
        <v>64</v>
      </c>
      <c r="D48" s="8">
        <v>3</v>
      </c>
      <c r="E48" s="3" t="s">
        <v>14</v>
      </c>
      <c r="F48" s="3" t="s">
        <v>76</v>
      </c>
      <c r="G48" s="17" t="s">
        <v>108</v>
      </c>
      <c r="H48" s="10">
        <f>Order_Table[[#This Row],[Order Amount]]*Order_Table[[#This Row],[Quantity]]</f>
        <v>192</v>
      </c>
      <c r="I48" s="1">
        <f>YEAR(Order_Table[[#This Row],[Date]])</f>
        <v>2026</v>
      </c>
      <c r="J48" s="1" t="str">
        <f>TEXT(Order_Table[[#This Row],[Date]],"mmm")</f>
        <v>Jul</v>
      </c>
      <c r="K48" s="1">
        <f>DAY(Order_Table[[#This Row],[Date]])</f>
        <v>3</v>
      </c>
    </row>
    <row r="49" spans="1:11" x14ac:dyDescent="0.25">
      <c r="A49" s="3" t="s">
        <v>59</v>
      </c>
      <c r="B49" s="4">
        <v>46208</v>
      </c>
      <c r="C49" s="6">
        <v>110</v>
      </c>
      <c r="D49" s="8">
        <v>1</v>
      </c>
      <c r="E49" s="3" t="s">
        <v>7</v>
      </c>
      <c r="F49" s="3" t="s">
        <v>78</v>
      </c>
      <c r="G49" s="17" t="s">
        <v>109</v>
      </c>
      <c r="H49" s="10">
        <f>Order_Table[[#This Row],[Order Amount]]*Order_Table[[#This Row],[Quantity]]</f>
        <v>110</v>
      </c>
      <c r="I49" s="1">
        <f>YEAR(Order_Table[[#This Row],[Date]])</f>
        <v>2026</v>
      </c>
      <c r="J49" s="1" t="str">
        <f>TEXT(Order_Table[[#This Row],[Date]],"mmm")</f>
        <v>Jul</v>
      </c>
      <c r="K49" s="1">
        <f>DAY(Order_Table[[#This Row],[Date]])</f>
        <v>5</v>
      </c>
    </row>
    <row r="50" spans="1:11" x14ac:dyDescent="0.25">
      <c r="A50" s="3" t="s">
        <v>60</v>
      </c>
      <c r="B50" s="4">
        <v>46210</v>
      </c>
      <c r="C50" s="6">
        <v>117</v>
      </c>
      <c r="D50" s="8">
        <v>5</v>
      </c>
      <c r="E50" s="3" t="s">
        <v>14</v>
      </c>
      <c r="F50" s="3" t="s">
        <v>76</v>
      </c>
      <c r="G50" s="17" t="s">
        <v>110</v>
      </c>
      <c r="H50" s="10">
        <f>Order_Table[[#This Row],[Order Amount]]*Order_Table[[#This Row],[Quantity]]</f>
        <v>585</v>
      </c>
      <c r="I50" s="1">
        <f>YEAR(Order_Table[[#This Row],[Date]])</f>
        <v>2026</v>
      </c>
      <c r="J50" s="1" t="str">
        <f>TEXT(Order_Table[[#This Row],[Date]],"mmm")</f>
        <v>Jul</v>
      </c>
      <c r="K50" s="1">
        <f>DAY(Order_Table[[#This Row],[Date]])</f>
        <v>7</v>
      </c>
    </row>
    <row r="51" spans="1:11" x14ac:dyDescent="0.25">
      <c r="A51" s="3" t="s">
        <v>61</v>
      </c>
      <c r="B51" s="4">
        <v>46212</v>
      </c>
      <c r="C51" s="6">
        <v>70</v>
      </c>
      <c r="D51" s="8">
        <v>4</v>
      </c>
      <c r="E51" s="3" t="s">
        <v>7</v>
      </c>
      <c r="F51" s="3" t="s">
        <v>77</v>
      </c>
      <c r="G51" s="18" t="s">
        <v>115</v>
      </c>
      <c r="H51" s="10">
        <f>Order_Table[[#This Row],[Order Amount]]*Order_Table[[#This Row],[Quantity]]</f>
        <v>280</v>
      </c>
      <c r="I51" s="1">
        <f>YEAR(Order_Table[[#This Row],[Date]])</f>
        <v>2026</v>
      </c>
      <c r="J51" s="1" t="str">
        <f>TEXT(Order_Table[[#This Row],[Date]],"mmm")</f>
        <v>Jul</v>
      </c>
      <c r="K51" s="1">
        <f>DAY(Order_Table[[#This Row],[Date]])</f>
        <v>9</v>
      </c>
    </row>
    <row r="52" spans="1:11" x14ac:dyDescent="0.25">
      <c r="A52" s="3" t="s">
        <v>62</v>
      </c>
      <c r="B52" s="4">
        <v>46226</v>
      </c>
      <c r="C52" s="6">
        <v>85</v>
      </c>
      <c r="D52" s="8">
        <v>7</v>
      </c>
      <c r="E52" s="3" t="s">
        <v>14</v>
      </c>
      <c r="F52" s="3" t="s">
        <v>76</v>
      </c>
      <c r="G52" s="17" t="s">
        <v>111</v>
      </c>
      <c r="H52" s="10">
        <f>Order_Table[[#This Row],[Order Amount]]*Order_Table[[#This Row],[Quantity]]</f>
        <v>595</v>
      </c>
      <c r="I52" s="1">
        <f>YEAR(Order_Table[[#This Row],[Date]])</f>
        <v>2026</v>
      </c>
      <c r="J52" s="1" t="str">
        <f>TEXT(Order_Table[[#This Row],[Date]],"mmm")</f>
        <v>Jul</v>
      </c>
      <c r="K52" s="1">
        <f>DAY(Order_Table[[#This Row],[Date]])</f>
        <v>23</v>
      </c>
    </row>
    <row r="53" spans="1:11" x14ac:dyDescent="0.25">
      <c r="A53" s="3" t="s">
        <v>64</v>
      </c>
      <c r="B53" s="4">
        <v>46228</v>
      </c>
      <c r="C53" s="6">
        <v>161</v>
      </c>
      <c r="D53" s="8">
        <v>5</v>
      </c>
      <c r="E53" s="3" t="s">
        <v>11</v>
      </c>
      <c r="F53" s="3" t="s">
        <v>78</v>
      </c>
      <c r="G53" s="17" t="s">
        <v>112</v>
      </c>
      <c r="H53" s="10">
        <f>Order_Table[[#This Row],[Order Amount]]*Order_Table[[#This Row],[Quantity]]</f>
        <v>805</v>
      </c>
      <c r="I53" s="1">
        <f>YEAR(Order_Table[[#This Row],[Date]])</f>
        <v>2026</v>
      </c>
      <c r="J53" s="1" t="str">
        <f>TEXT(Order_Table[[#This Row],[Date]],"mmm")</f>
        <v>Jul</v>
      </c>
      <c r="K53" s="1">
        <f>DAY(Order_Table[[#This Row],[Date]])</f>
        <v>25</v>
      </c>
    </row>
    <row r="54" spans="1:11" x14ac:dyDescent="0.25">
      <c r="A54" s="3" t="s">
        <v>65</v>
      </c>
      <c r="B54" s="4">
        <v>46230</v>
      </c>
      <c r="C54" s="6">
        <v>109</v>
      </c>
      <c r="D54" s="8">
        <v>2</v>
      </c>
      <c r="E54" s="3" t="s">
        <v>14</v>
      </c>
      <c r="F54" s="3" t="s">
        <v>76</v>
      </c>
      <c r="G54" s="18" t="s">
        <v>113</v>
      </c>
      <c r="H54" s="10">
        <f>Order_Table[[#This Row],[Order Amount]]*Order_Table[[#This Row],[Quantity]]</f>
        <v>218</v>
      </c>
      <c r="I54" s="1">
        <f>YEAR(Order_Table[[#This Row],[Date]])</f>
        <v>2026</v>
      </c>
      <c r="J54" s="1" t="str">
        <f>TEXT(Order_Table[[#This Row],[Date]],"mmm")</f>
        <v>Jul</v>
      </c>
      <c r="K54" s="1">
        <f>DAY(Order_Table[[#This Row],[Date]])</f>
        <v>27</v>
      </c>
    </row>
    <row r="55" spans="1:11" x14ac:dyDescent="0.25">
      <c r="A55" s="3" t="s">
        <v>66</v>
      </c>
      <c r="B55" s="4">
        <v>46235</v>
      </c>
      <c r="C55" s="6">
        <v>128</v>
      </c>
      <c r="D55" s="8">
        <v>1</v>
      </c>
      <c r="E55" s="3" t="s">
        <v>7</v>
      </c>
      <c r="F55" s="3" t="s">
        <v>77</v>
      </c>
      <c r="G55" s="18" t="s">
        <v>114</v>
      </c>
      <c r="H55" s="10">
        <f>Order_Table[[#This Row],[Order Amount]]*Order_Table[[#This Row],[Quantity]]</f>
        <v>128</v>
      </c>
      <c r="I55" s="1">
        <f>YEAR(Order_Table[[#This Row],[Date]])</f>
        <v>2026</v>
      </c>
      <c r="J55" s="1" t="str">
        <f>TEXT(Order_Table[[#This Row],[Date]],"mmm")</f>
        <v>Aug</v>
      </c>
      <c r="K55" s="1">
        <f>DAY(Order_Table[[#This Row],[Date]])</f>
        <v>1</v>
      </c>
    </row>
    <row r="56" spans="1:11" x14ac:dyDescent="0.25">
      <c r="A56" s="3" t="s">
        <v>67</v>
      </c>
      <c r="B56" s="4">
        <v>46237</v>
      </c>
      <c r="C56" s="6">
        <v>136</v>
      </c>
      <c r="D56" s="8">
        <v>5</v>
      </c>
      <c r="E56" s="3" t="s">
        <v>11</v>
      </c>
      <c r="F56" s="3" t="s">
        <v>78</v>
      </c>
      <c r="G56" s="18" t="s">
        <v>116</v>
      </c>
      <c r="H56" s="10">
        <f>Order_Table[[#This Row],[Order Amount]]*Order_Table[[#This Row],[Quantity]]</f>
        <v>680</v>
      </c>
      <c r="I56" s="1">
        <f>YEAR(Order_Table[[#This Row],[Date]])</f>
        <v>2026</v>
      </c>
      <c r="J56" s="1" t="str">
        <f>TEXT(Order_Table[[#This Row],[Date]],"mmm")</f>
        <v>Aug</v>
      </c>
      <c r="K56" s="1">
        <f>DAY(Order_Table[[#This Row],[Date]])</f>
        <v>3</v>
      </c>
    </row>
    <row r="57" spans="1:11" x14ac:dyDescent="0.25">
      <c r="A57" s="3" t="s">
        <v>68</v>
      </c>
      <c r="B57" s="4">
        <v>46239</v>
      </c>
      <c r="C57" s="6">
        <v>160</v>
      </c>
      <c r="D57" s="8">
        <v>3</v>
      </c>
      <c r="E57" s="3" t="s">
        <v>14</v>
      </c>
      <c r="F57" s="3" t="s">
        <v>76</v>
      </c>
      <c r="G57" s="18" t="s">
        <v>117</v>
      </c>
      <c r="H57" s="10">
        <f>Order_Table[[#This Row],[Order Amount]]*Order_Table[[#This Row],[Quantity]]</f>
        <v>480</v>
      </c>
      <c r="I57" s="1">
        <f>YEAR(Order_Table[[#This Row],[Date]])</f>
        <v>2026</v>
      </c>
      <c r="J57" s="1" t="str">
        <f>TEXT(Order_Table[[#This Row],[Date]],"mmm")</f>
        <v>Aug</v>
      </c>
      <c r="K57" s="1">
        <f>DAY(Order_Table[[#This Row],[Date]])</f>
        <v>5</v>
      </c>
    </row>
    <row r="58" spans="1:11" x14ac:dyDescent="0.25">
      <c r="A58" s="3" t="s">
        <v>69</v>
      </c>
      <c r="B58" s="4">
        <v>46241</v>
      </c>
      <c r="C58" s="6">
        <v>127</v>
      </c>
      <c r="D58" s="8">
        <v>2</v>
      </c>
      <c r="E58" s="3" t="s">
        <v>5</v>
      </c>
      <c r="F58" s="3" t="s">
        <v>79</v>
      </c>
      <c r="G58" s="18" t="s">
        <v>118</v>
      </c>
      <c r="H58" s="10">
        <f>Order_Table[[#This Row],[Order Amount]]*Order_Table[[#This Row],[Quantity]]</f>
        <v>254</v>
      </c>
      <c r="I58" s="1">
        <f>YEAR(Order_Table[[#This Row],[Date]])</f>
        <v>2026</v>
      </c>
      <c r="J58" s="1" t="str">
        <f>TEXT(Order_Table[[#This Row],[Date]],"mmm")</f>
        <v>Aug</v>
      </c>
      <c r="K58" s="1">
        <f>DAY(Order_Table[[#This Row],[Date]])</f>
        <v>7</v>
      </c>
    </row>
    <row r="59" spans="1:11" x14ac:dyDescent="0.25">
      <c r="A59" s="3" t="s">
        <v>70</v>
      </c>
      <c r="B59" s="4">
        <v>46243</v>
      </c>
      <c r="C59" s="6">
        <v>84</v>
      </c>
      <c r="D59" s="8">
        <v>4</v>
      </c>
      <c r="E59" s="3" t="s">
        <v>11</v>
      </c>
      <c r="F59" s="3" t="s">
        <v>77</v>
      </c>
      <c r="G59" s="18" t="s">
        <v>119</v>
      </c>
      <c r="H59" s="10">
        <f>Order_Table[[#This Row],[Order Amount]]*Order_Table[[#This Row],[Quantity]]</f>
        <v>336</v>
      </c>
      <c r="I59" s="1">
        <f>YEAR(Order_Table[[#This Row],[Date]])</f>
        <v>2026</v>
      </c>
      <c r="J59" s="1" t="str">
        <f>TEXT(Order_Table[[#This Row],[Date]],"mmm")</f>
        <v>Aug</v>
      </c>
      <c r="K59" s="1">
        <f>DAY(Order_Table[[#This Row],[Date]])</f>
        <v>9</v>
      </c>
    </row>
    <row r="60" spans="1:11" x14ac:dyDescent="0.25">
      <c r="A60" s="3" t="s">
        <v>71</v>
      </c>
      <c r="B60" s="4">
        <v>46257</v>
      </c>
      <c r="C60" s="6">
        <v>64</v>
      </c>
      <c r="D60" s="8">
        <v>5</v>
      </c>
      <c r="E60" s="3" t="s">
        <v>14</v>
      </c>
      <c r="F60" s="3" t="s">
        <v>76</v>
      </c>
      <c r="G60" s="18" t="s">
        <v>120</v>
      </c>
      <c r="H60" s="10">
        <f>Order_Table[[#This Row],[Order Amount]]*Order_Table[[#This Row],[Quantity]]</f>
        <v>320</v>
      </c>
      <c r="I60" s="1">
        <f>YEAR(Order_Table[[#This Row],[Date]])</f>
        <v>2026</v>
      </c>
      <c r="J60" s="1" t="str">
        <f>TEXT(Order_Table[[#This Row],[Date]],"mmm")</f>
        <v>Aug</v>
      </c>
      <c r="K60" s="1">
        <f>DAY(Order_Table[[#This Row],[Date]])</f>
        <v>23</v>
      </c>
    </row>
    <row r="61" spans="1:11" x14ac:dyDescent="0.25">
      <c r="A61" s="3" t="s">
        <v>72</v>
      </c>
      <c r="B61" s="4">
        <v>46259</v>
      </c>
      <c r="C61" s="6">
        <v>110</v>
      </c>
      <c r="D61" s="8">
        <v>2</v>
      </c>
      <c r="E61" s="3" t="s">
        <v>7</v>
      </c>
      <c r="F61" s="3" t="s">
        <v>78</v>
      </c>
      <c r="G61" s="18" t="s">
        <v>121</v>
      </c>
      <c r="H61" s="10">
        <f>Order_Table[[#This Row],[Order Amount]]*Order_Table[[#This Row],[Quantity]]</f>
        <v>220</v>
      </c>
      <c r="I61" s="1">
        <f>YEAR(Order_Table[[#This Row],[Date]])</f>
        <v>2026</v>
      </c>
      <c r="J61" s="1" t="str">
        <f>TEXT(Order_Table[[#This Row],[Date]],"mmm")</f>
        <v>Aug</v>
      </c>
      <c r="K61" s="1">
        <f>DAY(Order_Table[[#This Row],[Date]])</f>
        <v>25</v>
      </c>
    </row>
    <row r="62" spans="1:11" x14ac:dyDescent="0.25">
      <c r="A62" s="3" t="s">
        <v>80</v>
      </c>
      <c r="B62" s="4">
        <v>46261</v>
      </c>
      <c r="C62" s="6">
        <v>117</v>
      </c>
      <c r="D62" s="8">
        <v>1</v>
      </c>
      <c r="E62" s="3" t="s">
        <v>14</v>
      </c>
      <c r="F62" s="3" t="s">
        <v>76</v>
      </c>
      <c r="G62" s="17" t="s">
        <v>107</v>
      </c>
      <c r="H62" s="10">
        <f>Order_Table[[#This Row],[Order Amount]]*Order_Table[[#This Row],[Quantity]]</f>
        <v>117</v>
      </c>
      <c r="I62" s="1">
        <f>YEAR(Order_Table[[#This Row],[Date]])</f>
        <v>2026</v>
      </c>
      <c r="J62" s="1" t="str">
        <f>TEXT(Order_Table[[#This Row],[Date]],"mmm")</f>
        <v>Aug</v>
      </c>
      <c r="K62" s="1">
        <f>DAY(Order_Table[[#This Row],[Date]])</f>
        <v>27</v>
      </c>
    </row>
    <row r="63" spans="1:11" x14ac:dyDescent="0.25">
      <c r="A63" s="3" t="s">
        <v>81</v>
      </c>
      <c r="B63" s="4">
        <v>46266</v>
      </c>
      <c r="C63" s="6">
        <v>70</v>
      </c>
      <c r="D63" s="8">
        <v>5</v>
      </c>
      <c r="E63" s="3" t="s">
        <v>7</v>
      </c>
      <c r="F63" s="3" t="s">
        <v>77</v>
      </c>
      <c r="G63" s="17" t="s">
        <v>108</v>
      </c>
      <c r="H63" s="10">
        <f>Order_Table[[#This Row],[Order Amount]]*Order_Table[[#This Row],[Quantity]]</f>
        <v>350</v>
      </c>
      <c r="I63" s="1">
        <f>YEAR(Order_Table[[#This Row],[Date]])</f>
        <v>2026</v>
      </c>
      <c r="J63" s="1" t="str">
        <f>TEXT(Order_Table[[#This Row],[Date]],"mmm")</f>
        <v>Sep</v>
      </c>
      <c r="K63" s="1">
        <f>DAY(Order_Table[[#This Row],[Date]])</f>
        <v>1</v>
      </c>
    </row>
    <row r="64" spans="1:11" x14ac:dyDescent="0.25">
      <c r="A64" s="3" t="s">
        <v>82</v>
      </c>
      <c r="B64" s="4">
        <v>46268</v>
      </c>
      <c r="C64" s="6">
        <v>85</v>
      </c>
      <c r="D64" s="8">
        <v>6</v>
      </c>
      <c r="E64" s="3" t="s">
        <v>14</v>
      </c>
      <c r="F64" s="3" t="s">
        <v>76</v>
      </c>
      <c r="G64" s="17" t="s">
        <v>109</v>
      </c>
      <c r="H64" s="10">
        <f>Order_Table[[#This Row],[Order Amount]]*Order_Table[[#This Row],[Quantity]]</f>
        <v>510</v>
      </c>
      <c r="I64" s="1">
        <f>YEAR(Order_Table[[#This Row],[Date]])</f>
        <v>2026</v>
      </c>
      <c r="J64" s="1" t="str">
        <f>TEXT(Order_Table[[#This Row],[Date]],"mmm")</f>
        <v>Sep</v>
      </c>
      <c r="K64" s="1">
        <f>DAY(Order_Table[[#This Row],[Date]])</f>
        <v>3</v>
      </c>
    </row>
    <row r="65" spans="1:11" x14ac:dyDescent="0.25">
      <c r="A65" s="3" t="s">
        <v>83</v>
      </c>
      <c r="B65" s="4">
        <v>46270</v>
      </c>
      <c r="C65" s="6">
        <v>161</v>
      </c>
      <c r="D65" s="8">
        <v>4</v>
      </c>
      <c r="E65" s="3" t="s">
        <v>11</v>
      </c>
      <c r="F65" s="3" t="s">
        <v>78</v>
      </c>
      <c r="G65" s="17" t="s">
        <v>110</v>
      </c>
      <c r="H65" s="10">
        <f>Order_Table[[#This Row],[Order Amount]]*Order_Table[[#This Row],[Quantity]]</f>
        <v>644</v>
      </c>
      <c r="I65" s="1">
        <f>YEAR(Order_Table[[#This Row],[Date]])</f>
        <v>2026</v>
      </c>
      <c r="J65" s="1" t="str">
        <f>TEXT(Order_Table[[#This Row],[Date]],"mmm")</f>
        <v>Sep</v>
      </c>
      <c r="K65" s="1">
        <f>DAY(Order_Table[[#This Row],[Date]])</f>
        <v>5</v>
      </c>
    </row>
    <row r="66" spans="1:11" x14ac:dyDescent="0.25">
      <c r="A66" s="3" t="s">
        <v>84</v>
      </c>
      <c r="B66" s="4">
        <v>46272</v>
      </c>
      <c r="C66" s="6">
        <v>109</v>
      </c>
      <c r="D66" s="8">
        <v>2</v>
      </c>
      <c r="E66" s="3" t="s">
        <v>14</v>
      </c>
      <c r="F66" s="3" t="s">
        <v>76</v>
      </c>
      <c r="G66" s="18" t="s">
        <v>115</v>
      </c>
      <c r="H66" s="10">
        <f>Order_Table[[#This Row],[Order Amount]]*Order_Table[[#This Row],[Quantity]]</f>
        <v>218</v>
      </c>
      <c r="I66" s="1">
        <f>YEAR(Order_Table[[#This Row],[Date]])</f>
        <v>2026</v>
      </c>
      <c r="J66" s="1" t="str">
        <f>TEXT(Order_Table[[#This Row],[Date]],"mmm")</f>
        <v>Sep</v>
      </c>
      <c r="K66" s="1">
        <f>DAY(Order_Table[[#This Row],[Date]])</f>
        <v>7</v>
      </c>
    </row>
    <row r="67" spans="1:11" x14ac:dyDescent="0.25">
      <c r="A67" s="3" t="s">
        <v>85</v>
      </c>
      <c r="B67" s="4">
        <v>46274</v>
      </c>
      <c r="C67" s="6">
        <v>128</v>
      </c>
      <c r="D67" s="8">
        <v>1</v>
      </c>
      <c r="E67" s="3" t="s">
        <v>7</v>
      </c>
      <c r="F67" s="3" t="s">
        <v>77</v>
      </c>
      <c r="G67" s="17" t="s">
        <v>111</v>
      </c>
      <c r="H67" s="10">
        <f>Order_Table[[#This Row],[Order Amount]]*Order_Table[[#This Row],[Quantity]]</f>
        <v>128</v>
      </c>
      <c r="I67" s="1">
        <f>YEAR(Order_Table[[#This Row],[Date]])</f>
        <v>2026</v>
      </c>
      <c r="J67" s="1" t="str">
        <f>TEXT(Order_Table[[#This Row],[Date]],"mmm")</f>
        <v>Sep</v>
      </c>
      <c r="K67" s="1">
        <f>DAY(Order_Table[[#This Row],[Date]])</f>
        <v>9</v>
      </c>
    </row>
    <row r="68" spans="1:11" x14ac:dyDescent="0.25">
      <c r="A68" s="3" t="s">
        <v>86</v>
      </c>
      <c r="B68" s="4">
        <v>46288</v>
      </c>
      <c r="C68" s="6">
        <v>136</v>
      </c>
      <c r="D68" s="8">
        <v>5</v>
      </c>
      <c r="E68" s="3" t="s">
        <v>11</v>
      </c>
      <c r="F68" s="3" t="s">
        <v>78</v>
      </c>
      <c r="G68" s="17" t="s">
        <v>112</v>
      </c>
      <c r="H68" s="10">
        <f>Order_Table[[#This Row],[Order Amount]]*Order_Table[[#This Row],[Quantity]]</f>
        <v>680</v>
      </c>
      <c r="I68" s="1">
        <f>YEAR(Order_Table[[#This Row],[Date]])</f>
        <v>2026</v>
      </c>
      <c r="J68" s="1" t="str">
        <f>TEXT(Order_Table[[#This Row],[Date]],"mmm")</f>
        <v>Sep</v>
      </c>
      <c r="K68" s="1">
        <f>DAY(Order_Table[[#This Row],[Date]])</f>
        <v>23</v>
      </c>
    </row>
    <row r="69" spans="1:11" x14ac:dyDescent="0.25">
      <c r="A69" s="3" t="s">
        <v>87</v>
      </c>
      <c r="B69" s="4">
        <v>46290</v>
      </c>
      <c r="C69" s="6">
        <v>160</v>
      </c>
      <c r="D69" s="8">
        <v>7</v>
      </c>
      <c r="E69" s="3" t="s">
        <v>14</v>
      </c>
      <c r="F69" s="3" t="s">
        <v>76</v>
      </c>
      <c r="G69" s="18" t="s">
        <v>113</v>
      </c>
      <c r="H69" s="10">
        <f>Order_Table[[#This Row],[Order Amount]]*Order_Table[[#This Row],[Quantity]]</f>
        <v>1120</v>
      </c>
      <c r="I69" s="1">
        <f>YEAR(Order_Table[[#This Row],[Date]])</f>
        <v>2026</v>
      </c>
      <c r="J69" s="1" t="str">
        <f>TEXT(Order_Table[[#This Row],[Date]],"mmm")</f>
        <v>Sep</v>
      </c>
      <c r="K69" s="1">
        <f>DAY(Order_Table[[#This Row],[Date]])</f>
        <v>25</v>
      </c>
    </row>
    <row r="70" spans="1:11" x14ac:dyDescent="0.25">
      <c r="A70" s="3" t="s">
        <v>88</v>
      </c>
      <c r="B70" s="4">
        <v>46292</v>
      </c>
      <c r="C70" s="6">
        <v>127</v>
      </c>
      <c r="D70" s="8">
        <v>5</v>
      </c>
      <c r="E70" s="3" t="s">
        <v>5</v>
      </c>
      <c r="F70" s="3" t="s">
        <v>79</v>
      </c>
      <c r="G70" s="18" t="s">
        <v>114</v>
      </c>
      <c r="H70" s="10">
        <f>Order_Table[[#This Row],[Order Amount]]*Order_Table[[#This Row],[Quantity]]</f>
        <v>635</v>
      </c>
      <c r="I70" s="1">
        <f>YEAR(Order_Table[[#This Row],[Date]])</f>
        <v>2026</v>
      </c>
      <c r="J70" s="1" t="str">
        <f>TEXT(Order_Table[[#This Row],[Date]],"mmm")</f>
        <v>Sep</v>
      </c>
      <c r="K70" s="1">
        <f>DAY(Order_Table[[#This Row],[Date]])</f>
        <v>27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7766E-6727-4CDC-B1F4-49ABAD3B125A}">
  <dimension ref="A3:AA108"/>
  <sheetViews>
    <sheetView tabSelected="1" topLeftCell="F1" zoomScaleNormal="100" workbookViewId="0">
      <selection activeCell="H44" sqref="H44"/>
    </sheetView>
  </sheetViews>
  <sheetFormatPr defaultRowHeight="14.3" x14ac:dyDescent="0.25"/>
  <cols>
    <col min="1" max="1" width="13.28515625" bestFit="1" customWidth="1"/>
    <col min="2" max="2" width="21.42578125" bestFit="1" customWidth="1"/>
    <col min="3" max="4" width="19.85546875" bestFit="1" customWidth="1"/>
    <col min="5" max="5" width="23.42578125" customWidth="1"/>
    <col min="6" max="7" width="19.85546875" bestFit="1" customWidth="1"/>
    <col min="8" max="8" width="10.7109375" bestFit="1" customWidth="1"/>
    <col min="9" max="9" width="14.42578125" style="16" bestFit="1" customWidth="1"/>
    <col min="10" max="10" width="20" style="16" bestFit="1" customWidth="1"/>
    <col min="11" max="11" width="10.7109375" style="16" bestFit="1" customWidth="1"/>
    <col min="12" max="12" width="9.28515625" style="16" bestFit="1" customWidth="1"/>
    <col min="16" max="16" width="13.7109375" customWidth="1"/>
    <col min="19" max="19" width="8.140625" customWidth="1"/>
    <col min="22" max="22" width="12.7109375" customWidth="1"/>
  </cols>
  <sheetData>
    <row r="3" spans="1:27" ht="26.4" x14ac:dyDescent="0.25">
      <c r="A3" s="12" t="s">
        <v>94</v>
      </c>
      <c r="B3" t="s">
        <v>127</v>
      </c>
      <c r="C3" t="s">
        <v>93</v>
      </c>
      <c r="D3" t="s">
        <v>97</v>
      </c>
      <c r="E3" t="s">
        <v>98</v>
      </c>
      <c r="G3" s="14" t="s">
        <v>2</v>
      </c>
      <c r="H3" s="15" t="s">
        <v>128</v>
      </c>
      <c r="I3" s="15" t="s">
        <v>99</v>
      </c>
      <c r="J3" s="15" t="s">
        <v>100</v>
      </c>
      <c r="K3" s="15" t="s">
        <v>101</v>
      </c>
      <c r="O3" s="21" t="s">
        <v>122</v>
      </c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x14ac:dyDescent="0.25">
      <c r="A4" s="13" t="s">
        <v>11</v>
      </c>
      <c r="B4" s="30">
        <v>19</v>
      </c>
      <c r="C4" s="5">
        <v>9809</v>
      </c>
      <c r="D4" s="5">
        <v>1048</v>
      </c>
      <c r="E4" s="5">
        <v>516.26315789473688</v>
      </c>
      <c r="G4" t="str" cm="1">
        <f t="array" aca="1" ref="G4:G7" ca="1">OFFSET($A$3,1,0,COUNT(B:B)-1)</f>
        <v>Chinese</v>
      </c>
      <c r="H4" s="31" cm="1">
        <f t="array" aca="1" ref="H4:H7" ca="1">OFFSET(A3,1,1,COUNT(B:B)-1)</f>
        <v>19</v>
      </c>
      <c r="I4" s="29" cm="1">
        <f t="array" aca="1" ref="I4:I7" ca="1">OFFSET(B3,1,1,COUNT(C:C)-1)</f>
        <v>9809</v>
      </c>
      <c r="J4" s="29" cm="1">
        <f t="array" aca="1" ref="J4:J7" ca="1">OFFSET(C3,1,1,COUNT(D:D)-1)</f>
        <v>1048</v>
      </c>
      <c r="K4" s="29" cm="1">
        <f t="array" aca="1" ref="K4:K7" ca="1">OFFSET(D3,1,1,COUNT(E:E)-1)</f>
        <v>516.26315789473688</v>
      </c>
      <c r="O4" s="22" t="s">
        <v>123</v>
      </c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x14ac:dyDescent="0.25">
      <c r="A5" s="13" t="s">
        <v>14</v>
      </c>
      <c r="B5" s="30">
        <v>28</v>
      </c>
      <c r="C5" s="5">
        <v>12981</v>
      </c>
      <c r="D5" s="5">
        <v>1144</v>
      </c>
      <c r="E5" s="5">
        <v>463.60714285714283</v>
      </c>
      <c r="G5" t="str">
        <f ca="1"/>
        <v>Indian</v>
      </c>
      <c r="H5" s="31">
        <f ca="1"/>
        <v>28</v>
      </c>
      <c r="I5" s="29">
        <f ca="1"/>
        <v>12981</v>
      </c>
      <c r="J5" s="29">
        <f ca="1"/>
        <v>1144</v>
      </c>
      <c r="K5" s="29">
        <f ca="1"/>
        <v>463.60714285714283</v>
      </c>
    </row>
    <row r="6" spans="1:27" x14ac:dyDescent="0.25">
      <c r="A6" s="13" t="s">
        <v>7</v>
      </c>
      <c r="B6" s="30">
        <v>15</v>
      </c>
      <c r="C6" s="5">
        <v>5859</v>
      </c>
      <c r="D6" s="5">
        <v>1024</v>
      </c>
      <c r="E6" s="5">
        <v>390.6</v>
      </c>
      <c r="G6" t="str">
        <f ca="1"/>
        <v>Italian</v>
      </c>
      <c r="H6" s="31">
        <f ca="1"/>
        <v>15</v>
      </c>
      <c r="I6" s="29">
        <f ca="1"/>
        <v>5859</v>
      </c>
      <c r="J6" s="29">
        <f ca="1"/>
        <v>1024</v>
      </c>
      <c r="K6" s="29">
        <f ca="1"/>
        <v>390.6</v>
      </c>
      <c r="O6" s="23" t="s">
        <v>124</v>
      </c>
      <c r="P6" s="23"/>
      <c r="Q6" s="23"/>
      <c r="R6" s="23"/>
      <c r="T6" s="25" t="s">
        <v>125</v>
      </c>
      <c r="U6" s="25"/>
      <c r="V6" s="25"/>
      <c r="X6" s="27" t="s">
        <v>126</v>
      </c>
      <c r="Y6" s="27"/>
      <c r="Z6" s="27"/>
      <c r="AA6" s="27"/>
    </row>
    <row r="7" spans="1:27" x14ac:dyDescent="0.25">
      <c r="A7" s="13" t="s">
        <v>5</v>
      </c>
      <c r="B7" s="30">
        <v>7</v>
      </c>
      <c r="C7" s="5">
        <v>3630</v>
      </c>
      <c r="D7" s="5">
        <v>896</v>
      </c>
      <c r="E7" s="5">
        <v>518.57142857142856</v>
      </c>
      <c r="G7" t="str">
        <f ca="1"/>
        <v>Mexican</v>
      </c>
      <c r="H7" s="31">
        <f ca="1"/>
        <v>7</v>
      </c>
      <c r="I7" s="29">
        <f ca="1"/>
        <v>3630</v>
      </c>
      <c r="J7" s="29">
        <f ca="1"/>
        <v>896</v>
      </c>
      <c r="K7" s="29">
        <f ca="1"/>
        <v>518.57142857142856</v>
      </c>
      <c r="O7" s="24">
        <f>GETPIVOTDATA("Total Amount",'Pivote Table'!$A$17)</f>
        <v>52</v>
      </c>
      <c r="P7" s="24"/>
      <c r="Q7" s="24"/>
      <c r="R7" s="24"/>
      <c r="T7" s="26">
        <f>GETPIVOTDATA("Total Amount",'Pivote Table'!$A$20)</f>
        <v>1144</v>
      </c>
      <c r="U7" s="26"/>
      <c r="V7" s="26"/>
      <c r="X7" s="28">
        <f>GETPIVOTDATA("Total Amount",'Pivote Table'!$A$24)</f>
        <v>467.81159420289856</v>
      </c>
      <c r="Y7" s="28"/>
      <c r="Z7" s="28"/>
      <c r="AA7" s="28"/>
    </row>
    <row r="8" spans="1:27" x14ac:dyDescent="0.25">
      <c r="A8" s="13" t="s">
        <v>95</v>
      </c>
      <c r="B8" s="30">
        <v>69</v>
      </c>
      <c r="C8" s="5">
        <v>32279</v>
      </c>
      <c r="D8" s="5">
        <v>1144</v>
      </c>
      <c r="E8" s="5">
        <v>467.81159420289856</v>
      </c>
    </row>
    <row r="12" spans="1:27" x14ac:dyDescent="0.25">
      <c r="F12" s="12" t="s">
        <v>94</v>
      </c>
      <c r="G12" t="s">
        <v>93</v>
      </c>
    </row>
    <row r="13" spans="1:27" x14ac:dyDescent="0.25">
      <c r="A13" s="20" t="s">
        <v>105</v>
      </c>
      <c r="F13" s="13">
        <v>2026</v>
      </c>
      <c r="G13" s="5">
        <v>30365</v>
      </c>
    </row>
    <row r="14" spans="1:27" x14ac:dyDescent="0.25">
      <c r="A14" t="s">
        <v>93</v>
      </c>
      <c r="F14" s="13">
        <v>2025</v>
      </c>
      <c r="G14" s="5">
        <v>1914</v>
      </c>
    </row>
    <row r="15" spans="1:27" x14ac:dyDescent="0.25">
      <c r="A15" s="5">
        <v>32279</v>
      </c>
      <c r="F15" s="13" t="s">
        <v>95</v>
      </c>
      <c r="G15" s="5">
        <v>32279</v>
      </c>
    </row>
    <row r="17" spans="1:10" x14ac:dyDescent="0.25">
      <c r="A17" t="s">
        <v>96</v>
      </c>
      <c r="F17" s="12" t="s">
        <v>94</v>
      </c>
      <c r="G17" t="s">
        <v>93</v>
      </c>
      <c r="I17" s="19" t="s">
        <v>129</v>
      </c>
      <c r="J17" s="19" t="s">
        <v>93</v>
      </c>
    </row>
    <row r="18" spans="1:10" x14ac:dyDescent="0.25">
      <c r="A18" s="5">
        <v>52</v>
      </c>
      <c r="F18" s="13" t="s">
        <v>4</v>
      </c>
      <c r="G18" s="5">
        <v>3340</v>
      </c>
      <c r="I18" s="16" t="str" cm="1">
        <f t="array" aca="1" ref="I18:I26" ca="1">OFFSET(F$17,1,0,COUNT(G17:G27)-1)</f>
        <v>Jan</v>
      </c>
      <c r="J18" s="29" cm="1">
        <f t="array" aca="1" ref="J18" ca="1">OFFSET(G17,1,0,COUNT(H17:H27)-1)</f>
        <v>3340</v>
      </c>
    </row>
    <row r="19" spans="1:10" x14ac:dyDescent="0.25">
      <c r="F19" s="13" t="s">
        <v>19</v>
      </c>
      <c r="G19" s="5">
        <v>3646</v>
      </c>
      <c r="I19" s="16" t="str">
        <f ca="1"/>
        <v>Feb</v>
      </c>
      <c r="J19" s="29" cm="1">
        <f t="array" aca="1" ref="J19" ca="1">OFFSET(G18,1,0,COUNT(H18:H28)-1)</f>
        <v>3646</v>
      </c>
    </row>
    <row r="20" spans="1:10" x14ac:dyDescent="0.25">
      <c r="A20" t="s">
        <v>97</v>
      </c>
      <c r="F20" s="13" t="s">
        <v>30</v>
      </c>
      <c r="G20" s="5">
        <v>3938</v>
      </c>
      <c r="I20" s="16" t="str">
        <f ca="1"/>
        <v>Mar</v>
      </c>
      <c r="J20" s="29" cm="1">
        <f t="array" aca="1" ref="J20" ca="1">OFFSET(G19,1,0,COUNT(H19:H29)-1)</f>
        <v>3938</v>
      </c>
    </row>
    <row r="21" spans="1:10" x14ac:dyDescent="0.25">
      <c r="A21" s="5">
        <v>1144</v>
      </c>
      <c r="F21" s="13" t="s">
        <v>41</v>
      </c>
      <c r="G21" s="5">
        <v>2630</v>
      </c>
      <c r="I21" s="16" t="str">
        <f ca="1"/>
        <v>Apr</v>
      </c>
      <c r="J21" s="29" cm="1">
        <f t="array" aca="1" ref="J21" ca="1">OFFSET(G20,1,0,COUNT(H20:H30)-1)</f>
        <v>2630</v>
      </c>
    </row>
    <row r="22" spans="1:10" x14ac:dyDescent="0.25">
      <c r="F22" s="13" t="s">
        <v>52</v>
      </c>
      <c r="G22" s="5">
        <v>4451</v>
      </c>
      <c r="I22" s="16" t="str">
        <f ca="1"/>
        <v>May</v>
      </c>
      <c r="J22" s="29" cm="1">
        <f t="array" aca="1" ref="J22" ca="1">OFFSET(G21,1,0,COUNT(H21:H31)-1)</f>
        <v>4451</v>
      </c>
    </row>
    <row r="23" spans="1:10" x14ac:dyDescent="0.25">
      <c r="F23" s="13" t="s">
        <v>63</v>
      </c>
      <c r="G23" s="5">
        <v>4165</v>
      </c>
      <c r="I23" s="16" t="str">
        <f ca="1"/>
        <v>Jun</v>
      </c>
      <c r="J23" s="29" cm="1">
        <f t="array" aca="1" ref="J23" ca="1">OFFSET(G22,1,0,COUNT(H22:H32)-1)</f>
        <v>4165</v>
      </c>
    </row>
    <row r="24" spans="1:10" x14ac:dyDescent="0.25">
      <c r="A24" t="s">
        <v>98</v>
      </c>
      <c r="F24" s="13" t="s">
        <v>102</v>
      </c>
      <c r="G24" s="5">
        <v>3289</v>
      </c>
      <c r="I24" s="16" t="str">
        <f ca="1"/>
        <v>Jul</v>
      </c>
      <c r="J24" s="29" cm="1">
        <f t="array" aca="1" ref="J24" ca="1">OFFSET(G23,1,0,COUNT(H23:H33)-1)</f>
        <v>3289</v>
      </c>
    </row>
    <row r="25" spans="1:10" x14ac:dyDescent="0.25">
      <c r="A25" s="5">
        <v>467.81159420289856</v>
      </c>
      <c r="F25" s="13" t="s">
        <v>103</v>
      </c>
      <c r="G25" s="5">
        <v>2535</v>
      </c>
      <c r="I25" s="16" t="str">
        <f ca="1"/>
        <v>Aug</v>
      </c>
      <c r="J25" s="29" cm="1">
        <f t="array" aca="1" ref="J25" ca="1">OFFSET(G24,1,0,COUNT(H24:H34)-1)</f>
        <v>2535</v>
      </c>
    </row>
    <row r="26" spans="1:10" x14ac:dyDescent="0.25">
      <c r="F26" s="13" t="s">
        <v>104</v>
      </c>
      <c r="G26" s="5">
        <v>4285</v>
      </c>
      <c r="I26" s="16" t="str">
        <f ca="1"/>
        <v>Sep</v>
      </c>
      <c r="J26" s="29" cm="1">
        <f t="array" aca="1" ref="J26" ca="1">OFFSET(G25,1,0,COUNT(H25:H35)-1)</f>
        <v>4285</v>
      </c>
    </row>
    <row r="27" spans="1:10" x14ac:dyDescent="0.25">
      <c r="F27" s="13" t="s">
        <v>95</v>
      </c>
      <c r="G27" s="5">
        <v>32279</v>
      </c>
    </row>
    <row r="46" spans="9:10" x14ac:dyDescent="0.25">
      <c r="I46"/>
      <c r="J46"/>
    </row>
    <row r="47" spans="9:10" x14ac:dyDescent="0.25">
      <c r="I47"/>
      <c r="J47"/>
    </row>
    <row r="48" spans="9:10" x14ac:dyDescent="0.25">
      <c r="I48"/>
      <c r="J48"/>
    </row>
    <row r="49" spans="9:10" x14ac:dyDescent="0.25">
      <c r="I49"/>
      <c r="J49"/>
    </row>
    <row r="50" spans="9:10" x14ac:dyDescent="0.25">
      <c r="I50"/>
      <c r="J50"/>
    </row>
    <row r="51" spans="9:10" x14ac:dyDescent="0.25">
      <c r="I51"/>
      <c r="J51"/>
    </row>
    <row r="52" spans="9:10" x14ac:dyDescent="0.25">
      <c r="I52"/>
      <c r="J52"/>
    </row>
    <row r="53" spans="9:10" x14ac:dyDescent="0.25">
      <c r="I53"/>
      <c r="J53"/>
    </row>
    <row r="54" spans="9:10" x14ac:dyDescent="0.25">
      <c r="I54"/>
      <c r="J54"/>
    </row>
    <row r="55" spans="9:10" x14ac:dyDescent="0.25">
      <c r="I55"/>
      <c r="J55"/>
    </row>
    <row r="56" spans="9:10" x14ac:dyDescent="0.25">
      <c r="I56"/>
      <c r="J56"/>
    </row>
    <row r="57" spans="9:10" x14ac:dyDescent="0.25">
      <c r="I57"/>
      <c r="J57"/>
    </row>
    <row r="58" spans="9:10" x14ac:dyDescent="0.25">
      <c r="I58"/>
      <c r="J58"/>
    </row>
    <row r="59" spans="9:10" x14ac:dyDescent="0.25">
      <c r="I59"/>
      <c r="J59"/>
    </row>
    <row r="60" spans="9:10" x14ac:dyDescent="0.25">
      <c r="I60"/>
      <c r="J60"/>
    </row>
    <row r="61" spans="9:10" x14ac:dyDescent="0.25">
      <c r="I61"/>
      <c r="J61"/>
    </row>
    <row r="62" spans="9:10" x14ac:dyDescent="0.25">
      <c r="I62"/>
      <c r="J62"/>
    </row>
    <row r="63" spans="9:10" x14ac:dyDescent="0.25">
      <c r="I63"/>
      <c r="J63"/>
    </row>
    <row r="64" spans="9:10" x14ac:dyDescent="0.25">
      <c r="I64"/>
      <c r="J64"/>
    </row>
    <row r="65" spans="9:10" x14ac:dyDescent="0.25">
      <c r="I65"/>
      <c r="J65"/>
    </row>
    <row r="66" spans="9:10" x14ac:dyDescent="0.25">
      <c r="I66"/>
      <c r="J66"/>
    </row>
    <row r="67" spans="9:10" x14ac:dyDescent="0.25">
      <c r="I67"/>
      <c r="J67"/>
    </row>
    <row r="68" spans="9:10" x14ac:dyDescent="0.25">
      <c r="I68"/>
      <c r="J68"/>
    </row>
    <row r="69" spans="9:10" x14ac:dyDescent="0.25">
      <c r="I69"/>
      <c r="J69"/>
    </row>
    <row r="70" spans="9:10" x14ac:dyDescent="0.25">
      <c r="I70"/>
      <c r="J70"/>
    </row>
    <row r="71" spans="9:10" x14ac:dyDescent="0.25">
      <c r="I71"/>
      <c r="J71"/>
    </row>
    <row r="72" spans="9:10" x14ac:dyDescent="0.25">
      <c r="I72"/>
      <c r="J72"/>
    </row>
    <row r="73" spans="9:10" x14ac:dyDescent="0.25">
      <c r="I73"/>
      <c r="J73"/>
    </row>
    <row r="74" spans="9:10" x14ac:dyDescent="0.25">
      <c r="I74"/>
      <c r="J74"/>
    </row>
    <row r="75" spans="9:10" x14ac:dyDescent="0.25">
      <c r="I75"/>
      <c r="J75"/>
    </row>
    <row r="76" spans="9:10" x14ac:dyDescent="0.25">
      <c r="I76"/>
      <c r="J76"/>
    </row>
    <row r="77" spans="9:10" x14ac:dyDescent="0.25">
      <c r="I77"/>
      <c r="J77"/>
    </row>
    <row r="78" spans="9:10" x14ac:dyDescent="0.25">
      <c r="I78"/>
      <c r="J78"/>
    </row>
    <row r="79" spans="9:10" x14ac:dyDescent="0.25">
      <c r="I79"/>
      <c r="J79"/>
    </row>
    <row r="80" spans="9:10" x14ac:dyDescent="0.25">
      <c r="I80"/>
      <c r="J80"/>
    </row>
    <row r="81" spans="9:10" x14ac:dyDescent="0.25">
      <c r="I81"/>
      <c r="J81"/>
    </row>
    <row r="82" spans="9:10" x14ac:dyDescent="0.25">
      <c r="I82"/>
      <c r="J82"/>
    </row>
    <row r="83" spans="9:10" x14ac:dyDescent="0.25">
      <c r="I83"/>
      <c r="J83"/>
    </row>
    <row r="84" spans="9:10" x14ac:dyDescent="0.25">
      <c r="I84"/>
      <c r="J84"/>
    </row>
    <row r="85" spans="9:10" x14ac:dyDescent="0.25">
      <c r="I85"/>
      <c r="J85"/>
    </row>
    <row r="86" spans="9:10" x14ac:dyDescent="0.25">
      <c r="I86"/>
      <c r="J86"/>
    </row>
    <row r="87" spans="9:10" x14ac:dyDescent="0.25">
      <c r="I87"/>
      <c r="J87"/>
    </row>
    <row r="88" spans="9:10" x14ac:dyDescent="0.25">
      <c r="I88"/>
      <c r="J88"/>
    </row>
    <row r="89" spans="9:10" x14ac:dyDescent="0.25">
      <c r="I89"/>
      <c r="J89"/>
    </row>
    <row r="90" spans="9:10" x14ac:dyDescent="0.25">
      <c r="I90"/>
      <c r="J90"/>
    </row>
    <row r="91" spans="9:10" x14ac:dyDescent="0.25">
      <c r="I91"/>
      <c r="J91"/>
    </row>
    <row r="92" spans="9:10" x14ac:dyDescent="0.25">
      <c r="I92"/>
      <c r="J92"/>
    </row>
    <row r="93" spans="9:10" x14ac:dyDescent="0.25">
      <c r="I93"/>
      <c r="J93"/>
    </row>
    <row r="94" spans="9:10" x14ac:dyDescent="0.25">
      <c r="I94"/>
      <c r="J94"/>
    </row>
    <row r="95" spans="9:10" x14ac:dyDescent="0.25">
      <c r="I95"/>
      <c r="J95"/>
    </row>
    <row r="96" spans="9:10" x14ac:dyDescent="0.25">
      <c r="I96"/>
      <c r="J96"/>
    </row>
    <row r="97" spans="9:10" x14ac:dyDescent="0.25">
      <c r="I97"/>
      <c r="J97"/>
    </row>
    <row r="98" spans="9:10" x14ac:dyDescent="0.25">
      <c r="I98"/>
      <c r="J98"/>
    </row>
    <row r="99" spans="9:10" x14ac:dyDescent="0.25">
      <c r="I99"/>
      <c r="J99"/>
    </row>
    <row r="100" spans="9:10" x14ac:dyDescent="0.25">
      <c r="I100"/>
      <c r="J100"/>
    </row>
    <row r="101" spans="9:10" x14ac:dyDescent="0.25">
      <c r="I101"/>
      <c r="J101"/>
    </row>
    <row r="102" spans="9:10" x14ac:dyDescent="0.25">
      <c r="I102"/>
      <c r="J102"/>
    </row>
    <row r="103" spans="9:10" x14ac:dyDescent="0.25">
      <c r="I103"/>
      <c r="J103"/>
    </row>
    <row r="104" spans="9:10" x14ac:dyDescent="0.25">
      <c r="I104"/>
      <c r="J104"/>
    </row>
    <row r="105" spans="9:10" x14ac:dyDescent="0.25">
      <c r="I105"/>
      <c r="J105"/>
    </row>
    <row r="106" spans="9:10" x14ac:dyDescent="0.25">
      <c r="I106"/>
      <c r="J106"/>
    </row>
    <row r="107" spans="9:10" x14ac:dyDescent="0.25">
      <c r="I107"/>
      <c r="J107"/>
    </row>
    <row r="108" spans="9:10" x14ac:dyDescent="0.25">
      <c r="I108"/>
      <c r="J108"/>
    </row>
  </sheetData>
  <mergeCells count="8">
    <mergeCell ref="O6:R6"/>
    <mergeCell ref="O7:R7"/>
    <mergeCell ref="X6:AA6"/>
    <mergeCell ref="X7:AA7"/>
    <mergeCell ref="T6:V6"/>
    <mergeCell ref="T7:V7"/>
    <mergeCell ref="O3:AA3"/>
    <mergeCell ref="O4:AA4"/>
  </mergeCells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B93D-6C8F-4C12-B678-93DFECCE756E}">
  <dimension ref="B2:I6"/>
  <sheetViews>
    <sheetView workbookViewId="0">
      <selection activeCell="B2" sqref="B2:I6"/>
    </sheetView>
  </sheetViews>
  <sheetFormatPr defaultRowHeight="14.3" x14ac:dyDescent="0.25"/>
  <sheetData>
    <row r="2" spans="2:9" ht="32.799999999999997" customHeight="1" x14ac:dyDescent="0.25">
      <c r="B2" s="21" t="s">
        <v>122</v>
      </c>
      <c r="C2" s="21"/>
      <c r="D2" s="21"/>
      <c r="E2" s="21"/>
      <c r="F2" s="21"/>
      <c r="G2" s="21"/>
      <c r="H2" s="21"/>
      <c r="I2" s="21"/>
    </row>
    <row r="3" spans="2:9" x14ac:dyDescent="0.25">
      <c r="B3" s="22" t="s">
        <v>123</v>
      </c>
      <c r="C3" s="22"/>
      <c r="D3" s="22"/>
      <c r="E3" s="22"/>
      <c r="F3" s="22"/>
      <c r="G3" s="22"/>
      <c r="H3" s="22"/>
      <c r="I3" s="22"/>
    </row>
    <row r="5" spans="2:9" x14ac:dyDescent="0.25">
      <c r="B5" s="23" t="s">
        <v>124</v>
      </c>
      <c r="C5" s="23"/>
      <c r="E5" s="25" t="s">
        <v>125</v>
      </c>
      <c r="F5" s="25"/>
      <c r="H5" s="27" t="s">
        <v>126</v>
      </c>
      <c r="I5" s="27"/>
    </row>
    <row r="6" spans="2:9" x14ac:dyDescent="0.25">
      <c r="B6" s="24">
        <f>GETPIVOTDATA("Total Amount",'Pivote Table'!$A$17)</f>
        <v>52</v>
      </c>
      <c r="C6" s="24"/>
      <c r="E6" s="26">
        <f>GETPIVOTDATA("Total Amount",'Pivote Table'!$A$20)</f>
        <v>1144</v>
      </c>
      <c r="F6" s="26"/>
      <c r="H6" s="28">
        <f>GETPIVOTDATA("Total Amount",'Pivote Table'!$A$24)</f>
        <v>467.81159420289856</v>
      </c>
      <c r="I6" s="28"/>
    </row>
  </sheetData>
  <mergeCells count="8">
    <mergeCell ref="B2:I2"/>
    <mergeCell ref="B3:I3"/>
    <mergeCell ref="B5:C5"/>
    <mergeCell ref="B6:C6"/>
    <mergeCell ref="E5:F5"/>
    <mergeCell ref="E6:F6"/>
    <mergeCell ref="H5:I5"/>
    <mergeCell ref="H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Pivote Table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pawar</dc:creator>
  <cp:lastModifiedBy>dilip pawar</cp:lastModifiedBy>
  <dcterms:created xsi:type="dcterms:W3CDTF">2026-09-27T11:42:39Z</dcterms:created>
  <dcterms:modified xsi:type="dcterms:W3CDTF">2026-10-02T08:53:40Z</dcterms:modified>
</cp:coreProperties>
</file>