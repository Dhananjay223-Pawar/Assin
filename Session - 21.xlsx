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40A450AF-4723-4FB4-B4AA-003D83B03D69}" xr6:coauthVersionLast="47" xr6:coauthVersionMax="47" xr10:uidLastSave="{00000000-0000-0000-0000-000000000000}"/>
  <bookViews>
    <workbookView xWindow="-114" yWindow="-114" windowWidth="27602" windowHeight="14927" activeTab="3" xr2:uid="{00000000-000D-0000-FFFF-FFFF00000000}"/>
  </bookViews>
  <sheets>
    <sheet name="Raw Orders" sheetId="1" r:id="rId1"/>
    <sheet name="Restaurant Details" sheetId="2" r:id="rId2"/>
    <sheet name="Tasks - 1,2,3" sheetId="4" r:id="rId3"/>
    <sheet name="Task 4" sheetId="5" r:id="rId4"/>
    <sheet name="Task 5" sheetId="6" r:id="rId5"/>
  </sheets>
  <definedNames>
    <definedName name="Slicer_City">#N/A</definedName>
  </definedNames>
  <calcPr calcId="191029" iterate="1"/>
  <pivotCaches>
    <pivotCache cacheId="3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6" l="1" a="1"/>
  <c r="D8" i="6"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2" i="4"/>
  <c r="M6" i="6"/>
  <c r="H6"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<sst xmlns="http://schemas.openxmlformats.org/spreadsheetml/2006/main" count="931" uniqueCount="261">
  <si>
    <t>Order ID</t>
  </si>
  <si>
    <t>Customer ID</t>
  </si>
  <si>
    <t>Restaurant ID</t>
  </si>
  <si>
    <t>Restaurant Name</t>
  </si>
  <si>
    <t>City</t>
  </si>
  <si>
    <t>Order Date</t>
  </si>
  <si>
    <t>Delivery Date</t>
  </si>
  <si>
    <t>Delivery Time (min)</t>
  </si>
  <si>
    <t>Delivery Charge</t>
  </si>
  <si>
    <t>Delivery Partner</t>
  </si>
  <si>
    <t>Payment Mode</t>
  </si>
  <si>
    <t>ORD1001</t>
  </si>
  <si>
    <t>U101</t>
  </si>
  <si>
    <t>R001</t>
  </si>
  <si>
    <t>Spice Hub</t>
  </si>
  <si>
    <t>Mumbai</t>
  </si>
  <si>
    <t>01/09/2026</t>
  </si>
  <si>
    <t>02/09/2026</t>
  </si>
  <si>
    <t>Assigned</t>
  </si>
  <si>
    <t>UPI</t>
  </si>
  <si>
    <t>ORD1002</t>
  </si>
  <si>
    <t>U102</t>
  </si>
  <si>
    <t>R002</t>
  </si>
  <si>
    <t>Biryani House</t>
  </si>
  <si>
    <t>Delhi</t>
  </si>
  <si>
    <t>02-09-2026</t>
  </si>
  <si>
    <t>03-09-2026</t>
  </si>
  <si>
    <t>Card</t>
  </si>
  <si>
    <t>ORD1003</t>
  </si>
  <si>
    <t>U103</t>
  </si>
  <si>
    <t>R003</t>
  </si>
  <si>
    <t>Pizza Corner</t>
  </si>
  <si>
    <t>Pune</t>
  </si>
  <si>
    <t>03-Sep-2026</t>
  </si>
  <si>
    <t>04-Sep-2026</t>
  </si>
  <si>
    <t>Rahul</t>
  </si>
  <si>
    <t>ORD1004</t>
  </si>
  <si>
    <t>U104</t>
  </si>
  <si>
    <t>R004</t>
  </si>
  <si>
    <t>South Treat</t>
  </si>
  <si>
    <t>Bengaluru</t>
  </si>
  <si>
    <t>04/09/2026</t>
  </si>
  <si>
    <t>05/09/2026</t>
  </si>
  <si>
    <t>Amit</t>
  </si>
  <si>
    <t>COD</t>
  </si>
  <si>
    <t>ORD1005</t>
  </si>
  <si>
    <t>U105</t>
  </si>
  <si>
    <t>R005</t>
  </si>
  <si>
    <t>Tandoori Tales</t>
  </si>
  <si>
    <t>Ahmedabad</t>
  </si>
  <si>
    <t>05-09-2026</t>
  </si>
  <si>
    <t>06-09-2026</t>
  </si>
  <si>
    <t>Neeraj</t>
  </si>
  <si>
    <t>ORD1006</t>
  </si>
  <si>
    <t>U106</t>
  </si>
  <si>
    <t>R006</t>
  </si>
  <si>
    <t>Burger Point</t>
  </si>
  <si>
    <t>06/09/2026</t>
  </si>
  <si>
    <t>07/09/2026</t>
  </si>
  <si>
    <t>Vikas</t>
  </si>
  <si>
    <t>ORD1007</t>
  </si>
  <si>
    <t>U107</t>
  </si>
  <si>
    <t>R007</t>
  </si>
  <si>
    <t>Chaat Junction</t>
  </si>
  <si>
    <t>07-09-2026</t>
  </si>
  <si>
    <t>08-09-2026</t>
  </si>
  <si>
    <t>ORD1008</t>
  </si>
  <si>
    <t>U108</t>
  </si>
  <si>
    <t>R008</t>
  </si>
  <si>
    <t>Cafe Aroma</t>
  </si>
  <si>
    <t>08/09/2026</t>
  </si>
  <si>
    <t>09/09/2026</t>
  </si>
  <si>
    <t>Sanjay</t>
  </si>
  <si>
    <t>ORD1009</t>
  </si>
  <si>
    <t>U109</t>
  </si>
  <si>
    <t>R009</t>
  </si>
  <si>
    <t>Healthy Bites</t>
  </si>
  <si>
    <t>09-Sep-2026</t>
  </si>
  <si>
    <t>10-Sep-2026</t>
  </si>
  <si>
    <t>Ravi</t>
  </si>
  <si>
    <t>ORD1010</t>
  </si>
  <si>
    <t>U110</t>
  </si>
  <si>
    <t>R010</t>
  </si>
  <si>
    <t>Royal Thali</t>
  </si>
  <si>
    <t>10/09/2026</t>
  </si>
  <si>
    <t>11/09/2026</t>
  </si>
  <si>
    <t>Karan</t>
  </si>
  <si>
    <t>ORD1011</t>
  </si>
  <si>
    <t>U111</t>
  </si>
  <si>
    <t>11-09-2026</t>
  </si>
  <si>
    <t>12-09-2026</t>
  </si>
  <si>
    <t>ORD1012</t>
  </si>
  <si>
    <t>U112</t>
  </si>
  <si>
    <t>12/09/2026</t>
  </si>
  <si>
    <t>13/09/2026</t>
  </si>
  <si>
    <t>ORD1013</t>
  </si>
  <si>
    <t>U113</t>
  </si>
  <si>
    <t>13-Sep-2026</t>
  </si>
  <si>
    <t>14-Sep-2026</t>
  </si>
  <si>
    <t>ORD1014</t>
  </si>
  <si>
    <t>U114</t>
  </si>
  <si>
    <t>14/09/2026</t>
  </si>
  <si>
    <t>15/09/2026</t>
  </si>
  <si>
    <t>ORD1015</t>
  </si>
  <si>
    <t>U115</t>
  </si>
  <si>
    <t>15-09-2026</t>
  </si>
  <si>
    <t>16-09-2026</t>
  </si>
  <si>
    <t>ORD1016</t>
  </si>
  <si>
    <t>U116</t>
  </si>
  <si>
    <t>16/09/2026</t>
  </si>
  <si>
    <t>17/09/2026</t>
  </si>
  <si>
    <t>ORD1017</t>
  </si>
  <si>
    <t>U117</t>
  </si>
  <si>
    <t>17-Sep-2026</t>
  </si>
  <si>
    <t>18-Sep-2026</t>
  </si>
  <si>
    <t>ORD1018</t>
  </si>
  <si>
    <t>U118</t>
  </si>
  <si>
    <t>18/09/2026</t>
  </si>
  <si>
    <t>19/09/2026</t>
  </si>
  <si>
    <t>ORD1019</t>
  </si>
  <si>
    <t>U119</t>
  </si>
  <si>
    <t>19-09-2026</t>
  </si>
  <si>
    <t>20-09-2026</t>
  </si>
  <si>
    <t>ORD1020</t>
  </si>
  <si>
    <t>U120</t>
  </si>
  <si>
    <t>20/09/2026</t>
  </si>
  <si>
    <t>21/09/2026</t>
  </si>
  <si>
    <t>ORD1021</t>
  </si>
  <si>
    <t>U121</t>
  </si>
  <si>
    <t>21-Sep-2026</t>
  </si>
  <si>
    <t>22-Sep-2026</t>
  </si>
  <si>
    <t>ORD1022</t>
  </si>
  <si>
    <t>U122</t>
  </si>
  <si>
    <t>22/09/2026</t>
  </si>
  <si>
    <t>23/09/2026</t>
  </si>
  <si>
    <t>ORD1023</t>
  </si>
  <si>
    <t>U123</t>
  </si>
  <si>
    <t>23-09-2026</t>
  </si>
  <si>
    <t>24-09-2026</t>
  </si>
  <si>
    <t>ORD1024</t>
  </si>
  <si>
    <t>U124</t>
  </si>
  <si>
    <t>24/Sep/2026</t>
  </si>
  <si>
    <t>25/Sep/2026</t>
  </si>
  <si>
    <t>ORD1025</t>
  </si>
  <si>
    <t>U125</t>
  </si>
  <si>
    <t>25/09/2026</t>
  </si>
  <si>
    <t>26/09/2026</t>
  </si>
  <si>
    <t>ORD1026</t>
  </si>
  <si>
    <t>U126</t>
  </si>
  <si>
    <t>26-09-2026</t>
  </si>
  <si>
    <t>27-09-2026</t>
  </si>
  <si>
    <t>ORD1027</t>
  </si>
  <si>
    <t>U127</t>
  </si>
  <si>
    <t>27/09/2026</t>
  </si>
  <si>
    <t>28/09/2026</t>
  </si>
  <si>
    <t>ORD1028</t>
  </si>
  <si>
    <t>U128</t>
  </si>
  <si>
    <t>28-Sep-2026</t>
  </si>
  <si>
    <t>29-Sep-2026</t>
  </si>
  <si>
    <t>ORD1029</t>
  </si>
  <si>
    <t>U129</t>
  </si>
  <si>
    <t>29/09/2026</t>
  </si>
  <si>
    <t>30/09/2026</t>
  </si>
  <si>
    <t>ORD1030</t>
  </si>
  <si>
    <t>U130</t>
  </si>
  <si>
    <t>30-09-2026</t>
  </si>
  <si>
    <t>01-10-2026</t>
  </si>
  <si>
    <t>ORD1031</t>
  </si>
  <si>
    <t>U131</t>
  </si>
  <si>
    <t>01/10/2026</t>
  </si>
  <si>
    <t>02/10/2026</t>
  </si>
  <si>
    <t>ORD1032</t>
  </si>
  <si>
    <t>U132</t>
  </si>
  <si>
    <t>02-Oct-2026</t>
  </si>
  <si>
    <t>03-Oct-2026</t>
  </si>
  <si>
    <t>ORD1033</t>
  </si>
  <si>
    <t>U133</t>
  </si>
  <si>
    <t>03/10/2026</t>
  </si>
  <si>
    <t>04/10/2026</t>
  </si>
  <si>
    <t>ORD1034</t>
  </si>
  <si>
    <t>U134</t>
  </si>
  <si>
    <t>04-10-2026</t>
  </si>
  <si>
    <t>05-10-2026</t>
  </si>
  <si>
    <t>ORD1035</t>
  </si>
  <si>
    <t>U135</t>
  </si>
  <si>
    <t>05/10/2026</t>
  </si>
  <si>
    <t>06/10/2026</t>
  </si>
  <si>
    <t>ORD1036</t>
  </si>
  <si>
    <t>U136</t>
  </si>
  <si>
    <t>06-Oct-2026</t>
  </si>
  <si>
    <t>07-Oct-2026</t>
  </si>
  <si>
    <t>ORD1037</t>
  </si>
  <si>
    <t>U137</t>
  </si>
  <si>
    <t>07/10/2026</t>
  </si>
  <si>
    <t>08/10/2026</t>
  </si>
  <si>
    <t>ORD1038</t>
  </si>
  <si>
    <t>U138</t>
  </si>
  <si>
    <t>08-10-2026</t>
  </si>
  <si>
    <t>09-10-2026</t>
  </si>
  <si>
    <t>ORD1039</t>
  </si>
  <si>
    <t>U139</t>
  </si>
  <si>
    <t>09/10/2026</t>
  </si>
  <si>
    <t>10/10/2026</t>
  </si>
  <si>
    <t>ORD1040</t>
  </si>
  <si>
    <t>U140</t>
  </si>
  <si>
    <t>10-Oct-2026</t>
  </si>
  <si>
    <t>11-Oct-2026</t>
  </si>
  <si>
    <t>ORD1041</t>
  </si>
  <si>
    <t>U141</t>
  </si>
  <si>
    <t>11/10/2026</t>
  </si>
  <si>
    <t>12/10/2026</t>
  </si>
  <si>
    <t>ORD1042</t>
  </si>
  <si>
    <t>U142</t>
  </si>
  <si>
    <t>12-10-2026</t>
  </si>
  <si>
    <t>13-10-2026</t>
  </si>
  <si>
    <t>ORD1043</t>
  </si>
  <si>
    <t>U143</t>
  </si>
  <si>
    <t>13-Oct-2026</t>
  </si>
  <si>
    <t>14-Oct-2026</t>
  </si>
  <si>
    <t>ORD1044</t>
  </si>
  <si>
    <t>U144</t>
  </si>
  <si>
    <t>14/10/2026</t>
  </si>
  <si>
    <t>15/10/2026</t>
  </si>
  <si>
    <t>ORD1045</t>
  </si>
  <si>
    <t>U145</t>
  </si>
  <si>
    <t>15-10-2026</t>
  </si>
  <si>
    <t>16-10-2026</t>
  </si>
  <si>
    <t>ORD1046</t>
  </si>
  <si>
    <t>U146</t>
  </si>
  <si>
    <t>16/10/2026</t>
  </si>
  <si>
    <t>17/10/2026</t>
  </si>
  <si>
    <t>ORD1047</t>
  </si>
  <si>
    <t>U147</t>
  </si>
  <si>
    <t>17-Oct-2026</t>
  </si>
  <si>
    <t>18-Oct-2026</t>
  </si>
  <si>
    <t>ORD1048</t>
  </si>
  <si>
    <t>U148</t>
  </si>
  <si>
    <t>18/10/2026</t>
  </si>
  <si>
    <t>19/10/2026</t>
  </si>
  <si>
    <t>Cuisine</t>
  </si>
  <si>
    <t>Restaurant City</t>
  </si>
  <si>
    <t>Indian</t>
  </si>
  <si>
    <t>Biryani</t>
  </si>
  <si>
    <t>Pizza</t>
  </si>
  <si>
    <t>South Indian</t>
  </si>
  <si>
    <t>North Indian</t>
  </si>
  <si>
    <t>Fast Food</t>
  </si>
  <si>
    <t>Street Food</t>
  </si>
  <si>
    <t>Cafe</t>
  </si>
  <si>
    <t>Healthy Food</t>
  </si>
  <si>
    <t>Unassigned</t>
  </si>
  <si>
    <t>Days</t>
  </si>
  <si>
    <t>Row Labels</t>
  </si>
  <si>
    <t>Grand Total</t>
  </si>
  <si>
    <t>Sum of Delivery Charge</t>
  </si>
  <si>
    <t>Count of Order ID</t>
  </si>
  <si>
    <t>Average of Delivery Time (min)</t>
  </si>
  <si>
    <t>Top 3 order</t>
  </si>
  <si>
    <t>Order DashBoard</t>
  </si>
  <si>
    <t>Total Order</t>
  </si>
  <si>
    <t>Avg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</si>
</sst>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9" formatCode="&quot;₹&quot;\ #,##0.00"/>
    <numFmt numFmtId="178" formatCode="[$-10409]hh:mm:ss\ AM/PM;@"/>
    <numFmt numFmtId="179" formatCode="[$-10409]hh:mm\ AM/PM;@"/>
  </numFmts>
  <fonts count="6" x14ac:knownFonts="1">
    <font>
      <sz val="11"/>
      <color theme="1"/>
      <name val="Calibri"/>
      <family val="2"/>
      <scheme val="minor"/>
    </font>
    <font>
      <b/>
      <sz val="11"/>
      <name val="Calibri"/>
      <family val="2"/>
    </font>
    <font>
      <b/>
      <sz val="11"/>
      <color theme="1"/>
      <name val="Calibri"/>
      <family val="2"/>
      <scheme val="minor"/>
    </font>
    <font>
      <b/>
      <sz val="24"/>
      <color theme="1"/>
      <name val="Calibri"/>
      <family val="2"/>
      <scheme val="minor"/>
    </font>
    <font>
      <b/>
      <sz val="14"/>
      <color theme="1"/>
      <name val="Calibri"/>
      <family val="2"/>
      <scheme val="minor"/>
    </font>
    <font>
      <sz val="12"/>
      <color theme="8" tint="-0.499984740745262"/>
      <name val="Calibri"/>
      <family val="2"/>
      <scheme val="minor"/>
    </font>
  </fonts>
  <fills count="6">
    <fill>
      <patternFill patternType="none"/>
    </fill>
    <fill>
      <patternFill patternType="gray125"/>
    </fill>
    <fill>
      <patternFill patternType="solid">
        <fgColor rgb="FFD9EAF7"/>
      </patternFill>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theme="8"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3" borderId="3" xfId="0" applyFont="1" applyFill="1" applyBorder="1"/>
    <xf numFmtId="169" fontId="0" fillId="0" borderId="0" xfId="0" applyNumberFormat="1"/>
    <xf numFmtId="0" fontId="0" fillId="0" borderId="0" xfId="0" applyAlignment="1">
      <alignment wrapText="1"/>
    </xf>
    <xf numFmtId="178" fontId="0" fillId="0" borderId="0" xfId="0" applyNumberFormat="1"/>
    <xf numFmtId="0" fontId="3" fillId="4" borderId="0" xfId="0" applyFont="1" applyFill="1" applyAlignment="1">
      <alignment horizontal="center" vertical="center" wrapText="1"/>
    </xf>
    <xf numFmtId="0" fontId="4" fillId="5" borderId="0" xfId="0" applyFont="1" applyFill="1" applyAlignment="1">
      <alignment horizontal="center"/>
    </xf>
    <xf numFmtId="0" fontId="5" fillId="5" borderId="0" xfId="0" applyFont="1" applyFill="1" applyAlignment="1">
      <alignment horizontal="center"/>
    </xf>
    <xf numFmtId="179" fontId="5" fillId="5" borderId="0" xfId="0" applyNumberFormat="1" applyFont="1" applyFill="1" applyAlignment="1">
      <alignment horizontal="center"/>
    </xf>
  </cellXfs>
  <cellStyles count="1">
    <cellStyle name="Normal" xfId="0" builtinId="0"/>
  </cellStyles>
  <dxfs count="6">
    <dxf>
      <font>
        <b/>
        <i val="0"/>
        <strike val="0"/>
        <condense val="0"/>
        <extend val="0"/>
        <outline val="0"/>
        <shadow val="0"/>
        <u val="none"/>
        <vertAlign val="baseline"/>
        <sz val="11"/>
        <color auto="1"/>
        <name val="Calibri"/>
        <family val="2"/>
        <scheme val="none"/>
      </font>
      <fill>
        <patternFill patternType="solid">
          <fgColor indexed="64"/>
          <bgColor rgb="FFD9EAF7"/>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78" formatCode="[$-10409]hh:mm:ss\ AM/PM;@"/>
    </dxf>
    <dxf>
      <alignment wrapText="1"/>
    </dxf>
    <dxf>
      <font>
        <color rgb="FF9C0006"/>
      </font>
      <fill>
        <patternFill>
          <bgColor rgb="FFFFC7CE"/>
        </patternFill>
      </fill>
    </dxf>
    <dxf>
      <numFmt numFmtId="0" formatCode="General"/>
    </dxf>
    <dxf>
      <numFmt numFmtId="169"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[Zomato_Food_Delivery_Practice.xlsx]Task 4!PivotTable1</c:name>
    <c:fmtId val="7"/>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US" sz="1400">
                <a:solidFill>
                  <a:schemeClr val="bg1"/>
                </a:solidFill>
              </a:rPr>
              <a:t>Total Delivery Charge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4'!$B$3</c:f>
              <c:strCache>
                <c:ptCount val="1"/>
                <c:pt idx="0">
                  <c:v>Sum of Delivery Charge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4'!$A$4:$A$9</c:f>
              <c:strCache>
                <c:ptCount val="5"/>
                <c:pt idx="0">
                  <c:v>Ahmedabad</c:v>
                </c:pt>
                <c:pt idx="1">
                  <c:v>Bengaluru</c:v>
                </c:pt>
                <c:pt idx="2">
                  <c:v>Delhi</c:v>
                </c:pt>
                <c:pt idx="3">
                  <c:v>Mumbai</c:v>
                </c:pt>
                <c:pt idx="4">
                  <c:v>Pune</c:v>
                </c:pt>
              </c:strCache>
            </c:strRef>
          </c:cat>
          <c:val>
            <c:numRef>
              <c:f>'Task 4'!$B$4:$B$9</c:f>
              <c:numCache>
                <c:formatCode>"₹"\ #,##0.00</c:formatCode>
                <c:ptCount val="5"/>
                <c:pt idx="0">
                  <c:v>330</c:v>
                </c:pt>
                <c:pt idx="1">
                  <c:v>320</c:v>
                </c:pt>
                <c:pt idx="2">
                  <c:v>320</c:v>
                </c:pt>
                <c:pt idx="3">
                  <c:v>250</c:v>
                </c:pt>
                <c:pt idx="4">
                  <c:v>275</c:v>
                </c:pt>
              </c:numCache>
            </c:numRef>
          </c:val>
          <c:extLst>
            <c:ext xmlns:c16="http://schemas.microsoft.com/office/drawing/2014/chart" uri="{C3380CC4-5D6E-409C-BE32-E72D297353CC}">
              <c16:uniqueId val="{00000000-5CFE-42DE-82FF-E4178BDDD7CB}"/>
            </c:ext>
          </c:extLst>
        </c:ser>
        <c:ser>
          <c:idx val="1"/>
          <c:order val="1"/>
          <c:tx>
            <c:strRef>
              <c:f>'Task 4'!$C$3</c:f>
              <c:strCache>
                <c:ptCount val="1"/>
                <c:pt idx="0">
                  <c:v>Count of Order ID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4'!$A$4:$A$9</c:f>
              <c:strCache>
                <c:ptCount val="5"/>
                <c:pt idx="0">
                  <c:v>Ahmedabad</c:v>
                </c:pt>
                <c:pt idx="1">
                  <c:v>Bengaluru</c:v>
                </c:pt>
                <c:pt idx="2">
                  <c:v>Delhi</c:v>
                </c:pt>
                <c:pt idx="3">
                  <c:v>Mumbai</c:v>
                </c:pt>
                <c:pt idx="4">
                  <c:v>Pune</c:v>
                </c:pt>
              </c:strCache>
            </c:strRef>
          </c:cat>
          <c:val>
            <c:numRef>
              <c:f>'Task 4'!$C$4:$C$9</c:f>
              <c:numCache>
                <c:formatCode>General</c:formatCode>
                <c:ptCount val="5"/>
                <c:pt idx="0">
                  <c:v>9</c:v>
                </c:pt>
                <c:pt idx="1">
                  <c:v>9</c:v>
                </c:pt>
                <c:pt idx="2">
                  <c:v>10</c:v>
                </c:pt>
                <c:pt idx="3">
                  <c:v>10</c:v>
                </c:pt>
                <c:pt idx="4">
                  <c:v>10</c:v>
                </c:pt>
              </c:numCache>
            </c:numRef>
          </c:val>
          <c:extLst>
            <c:ext xmlns:c16="http://schemas.microsoft.com/office/drawing/2014/chart" uri="{C3380CC4-5D6E-409C-BE32-E72D297353CC}">
              <c16:uniqueId val="{00000004-5CFE-42DE-82FF-E4178BDDD7CB}"/>
            </c:ext>
          </c:extLst>
        </c:ser>
        <c:dLbls>
          <c:dLblPos val="inEnd"/>
          <c:showLegendKey val="0"/>
          <c:showVal val="1"/>
          <c:showCatName val="0"/>
          <c:showSerName val="0"/>
          <c:showPercent val="0"/>
          <c:showBubbleSize val="0"/>
        </c:dLbls>
        <c:gapWidth val="65"/>
        <c:axId val="492713439"/>
        <c:axId val="1939501743"/>
      </c:barChart>
      <c:catAx>
        <c:axId val="492713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939501743"/>
        <c:crosses val="autoZero"/>
        <c:auto val="1"/>
        <c:lblAlgn val="ctr"/>
        <c:lblOffset val="100"/>
        <c:noMultiLvlLbl val="0"/>
      </c:catAx>
      <c:valAx>
        <c:axId val="19395017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49271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3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'Task 5'!$E$7</c:f>
              <c:strCache>
                <c:ptCount val="1"/>
                <c:pt idx="0">
                  <c:v>Top 3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53-44E0-9222-B0AAF091E4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53-44E0-9222-B0AAF091E4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2C53-44E0-9222-B0AAF091E4C8}"/>
              </c:ext>
            </c:extLst>
          </c:dPt>
          <c:dLbls>
            <c:dLbl>
              <c:idx val="0"/>
              <c:layout>
                <c:manualLayout>
                  <c:x val="7.1244401569272475E-2"/>
                  <c:y val="-0.12357259953288192"/>
                </c:manualLayout>
              </c:layout>
              <c:tx>
                <c:rich>
                  <a:bodyPr/>
                  <a:lstStyle/>
                  <a:p>
                    <a:fld id="{B6044EE4-26CF-4355-93F3-EBF8DCF0706F}" type="CELLRANGE">
                      <a:rPr lang="en-US" b="1"/>
                      <a:pPr/>
                      <a:t>[CELLRANGE]</a:t>
                    </a:fld>
                    <a:r>
                      <a:rPr lang="en-US" baseline="0"/>
                      <a:t>, </a:t>
                    </a:r>
                    <a:fld id="{EE11CE4D-D11C-45CA-ABE8-561A38F7C76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C53-44E0-9222-B0AAF091E4C8}"/>
                </c:ext>
              </c:extLst>
            </c:dLbl>
            <c:dLbl>
              <c:idx val="1"/>
              <c:layout>
                <c:manualLayout>
                  <c:x val="-0.13757539613376774"/>
                  <c:y val="4.5767629456622081E-3"/>
                </c:manualLayout>
              </c:layout>
              <c:tx>
                <c:rich>
                  <a:bodyPr/>
                  <a:lstStyle/>
                  <a:p>
                    <a:fld id="{43F02E6B-86DB-46B6-AA9A-F213910D4F57}" type="CELLRANGE">
                      <a:rPr lang="en-US" b="1"/>
                      <a:pPr/>
                      <a:t>[CELLRANGE]</a:t>
                    </a:fld>
                    <a:r>
                      <a:rPr lang="en-US" baseline="0"/>
                      <a:t>, </a:t>
                    </a:r>
                    <a:fld id="{DED95897-0FF2-4D92-BA24-00A1FC66EB2B}" type="VALUE">
                      <a:rPr lang="en-US" b="1"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C53-44E0-9222-B0AAF091E4C8}"/>
                </c:ext>
              </c:extLst>
            </c:dLbl>
            <c:dLbl>
              <c:idx val="2"/>
              <c:layout>
                <c:manualLayout>
                  <c:x val="-8.3527919081216151E-2"/>
                  <c:y val="-6.8651444184934379E-2"/>
                </c:manualLayout>
              </c:layout>
              <c:tx>
                <c:rich>
                  <a:bodyPr/>
                  <a:lstStyle/>
                  <a:p>
                    <a:fld id="{4BADD9D1-FB66-4EF6-BA09-AA6270F997BF}" type="CELLRANGE">
                      <a:rPr lang="en-US" b="1"/>
                      <a:pPr/>
                      <a:t>[CELLRANGE]</a:t>
                    </a:fld>
                    <a:r>
                      <a:rPr lang="en-US" baseline="0"/>
                      <a:t>, </a:t>
                    </a:r>
                    <a:fld id="{84EBBF0E-38ED-4578-9DF0-02F160E745F4}"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C53-44E0-9222-B0AAF091E4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'Task 5'!$D$8:$D$10</c:f>
              <c:strCache>
                <c:ptCount val="3"/>
                <c:pt idx="0">
                  <c:v>South Treat</c:v>
                </c:pt>
                <c:pt idx="1">
                  <c:v>Healthy Bites</c:v>
                </c:pt>
                <c:pt idx="2">
                  <c:v>Royal Thali</c:v>
                </c:pt>
              </c:strCache>
            </c:strRef>
          </c:cat>
          <c:val>
            <c:numRef>
              <c:f>'Task 5'!$E$8:$E$10</c:f>
              <c:numCache>
                <c:formatCode>General</c:formatCode>
                <c:ptCount val="3"/>
                <c:pt idx="0">
                  <c:v>8</c:v>
                </c:pt>
                <c:pt idx="1">
                  <c:v>7</c:v>
                </c:pt>
                <c:pt idx="2">
                  <c:v>6</c:v>
                </c:pt>
              </c:numCache>
            </c:numRef>
          </c:val>
          <c:extLst>
            <c:ext xmlns:c15="http://schemas.microsoft.com/office/drawing/2012/chart" uri="{02D57815-91ED-43cb-92C2-25804820EDAC}">
              <c15:datalabelsRange>
                <c15:f>'Task 5'!$D$8:$D$10</c15:f>
                <c15:dlblRangeCache>
                  <c:ptCount val="3"/>
                  <c:pt idx="0">
                    <c:v>South Treat</c:v>
                  </c:pt>
                  <c:pt idx="1">
                    <c:v>Healthy Bites</c:v>
                  </c:pt>
                  <c:pt idx="2">
                    <c:v>Royal Thali</c:v>
                  </c:pt>
                </c15:dlblRangeCache>
              </c15:datalabelsRange>
            </c:ext>
            <c:ext xmlns:c16="http://schemas.microsoft.com/office/drawing/2014/chart" uri="{C3380CC4-5D6E-409C-BE32-E72D297353CC}">
              <c16:uniqueId val="{00000000-2C53-44E0-9222-B0AAF091E4C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416459</xdr:colOff>
      <xdr:row>1</xdr:row>
      <xdr:rowOff>49794</xdr:rowOff>
    </xdr:from>
    <xdr:to>
      <xdr:col>12</xdr:col>
      <xdr:colOff>353085</xdr:colOff>
      <xdr:row>16</xdr:row>
      <xdr:rowOff>76954</xdr:rowOff>
    </xdr:to>
    <xdr:graphicFrame macro="">
      <xdr:nvGraphicFramePr>
        <xdr:cNvPr id="2" name="Chart 1">
          <a:extLst>
            <a:ext uri="{FF2B5EF4-FFF2-40B4-BE49-F238E27FC236}">
              <a16:creationId xmlns:a16="http://schemas.microsoft.com/office/drawing/2014/main" id="{AAE4A28E-C687-09D6-439E-9BEFEEFCE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27159</xdr:colOff>
      <xdr:row>7</xdr:row>
      <xdr:rowOff>172016</xdr:rowOff>
    </xdr:from>
    <xdr:to>
      <xdr:col>15</xdr:col>
      <xdr:colOff>543207</xdr:colOff>
      <xdr:row>11</xdr:row>
      <xdr:rowOff>63374</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BA958863-68FF-B63F-F586-4AB2D33C9B5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806745" y="1891259"/>
              <a:ext cx="5125085" cy="622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18106</xdr:colOff>
      <xdr:row>12</xdr:row>
      <xdr:rowOff>4526</xdr:rowOff>
    </xdr:from>
    <xdr:to>
      <xdr:col>15</xdr:col>
      <xdr:colOff>552260</xdr:colOff>
      <xdr:row>27</xdr:row>
      <xdr:rowOff>63373</xdr:rowOff>
    </xdr:to>
    <xdr:graphicFrame macro="">
      <xdr:nvGraphicFramePr>
        <xdr:cNvPr id="3" name="Chart 2">
          <a:extLst>
            <a:ext uri="{FF2B5EF4-FFF2-40B4-BE49-F238E27FC236}">
              <a16:creationId xmlns:a16="http://schemas.microsoft.com/office/drawing/2014/main" id="{55468195-2685-B89C-4761-AAEAB8ADD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97.624020138886" createdVersion="8" refreshedVersion="8" minRefreshableVersion="3" recordCount="48" xr:uid="{8C1E84F3-32AB-4D5D-881A-688AA4942403}">
  <cacheSource type="worksheet">
    <worksheetSource ref="A1:M49" sheet="Tasks - 1,2,3"/>
  </cacheSource>
  <cacheFields count="13">
    <cacheField name="Order ID" numFmtId="0">
      <sharedItems count="48">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haredItems>
    </cacheField>
    <cacheField name="Customer ID" numFmtId="0">
      <sharedItems/>
    </cacheField>
    <cacheField name="Restaurant ID" numFmtId="0">
      <sharedItems/>
    </cacheField>
    <cacheField name="Restaurant Name" numFmtId="0">
      <sharedItems count="10">
        <s v="Spice Hub"/>
        <s v="Biryani House"/>
        <s v="Pizza Corner"/>
        <s v="South Treat"/>
        <s v="Royal Thali"/>
        <s v="Chaat Junction"/>
        <s v="Cafe Aroma"/>
        <s v="Healthy Bites"/>
        <s v="Tandoori Tales"/>
        <s v="Burger Point"/>
      </sharedItems>
    </cacheField>
    <cacheField name="Cuisine" numFmtId="0">
      <sharedItems/>
    </cacheField>
    <cacheField name="City" numFmtId="0">
      <sharedItems count="5">
        <s v="Mumbai"/>
        <s v="Delhi"/>
        <s v="Pune"/>
        <s v="Bengaluru"/>
        <s v="Ahmedabad"/>
      </sharedItems>
    </cacheField>
    <cacheField name="Order Date" numFmtId="0">
      <sharedItems/>
    </cacheField>
    <cacheField name="Delivery Date" numFmtId="0">
      <sharedItems/>
    </cacheField>
    <cacheField name="Delivery Time (min)" numFmtId="0">
      <sharedItems containsSemiMixedTypes="0" containsString="0" containsNumber="1" containsInteger="1" minValue="27" maxValue="55"/>
    </cacheField>
    <cacheField name="Delivery Charge" numFmtId="0">
      <sharedItems containsSemiMixedTypes="0" containsString="0" containsNumber="1" containsInteger="1" minValue="20" maxValue="45"/>
    </cacheField>
    <cacheField name="Delivery Partner" numFmtId="0">
      <sharedItems/>
    </cacheField>
    <cacheField name="Payment Mode" numFmtId="0">
      <sharedItems/>
    </cacheField>
    <cacheField name="Days" numFmtId="0">
      <sharedItems/>
    </cacheField>
  </cacheFields>
  <extLst>
    <ext xmlns:x14="http://schemas.microsoft.com/office/spreadsheetml/2009/9/main" uri="{725AE2AE-9491-48be-B2B4-4EB974FC3084}">
      <x14:pivotCacheDefinition pivotCacheId="8189036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s v="U101"/>
    <s v="R001"/>
    <x v="0"/>
    <s v="Indian"/>
    <x v="0"/>
    <s v="01/09/2026"/>
    <s v="02/09/2026"/>
    <n v="35"/>
    <n v="30"/>
    <s v="Assigned"/>
    <s v="UPI"/>
    <s v="Wednesday"/>
  </r>
  <r>
    <x v="1"/>
    <s v="U102"/>
    <s v="R002"/>
    <x v="1"/>
    <s v="Biryani"/>
    <x v="1"/>
    <s v="02-09-2026"/>
    <s v="03-09-2026"/>
    <n v="42"/>
    <n v="35"/>
    <s v="Unassigned"/>
    <s v="Card"/>
    <s v="Thursday"/>
  </r>
  <r>
    <x v="2"/>
    <s v="U103"/>
    <s v="R003"/>
    <x v="2"/>
    <s v="Pizza"/>
    <x v="2"/>
    <s v="03-Sep-2026"/>
    <s v="04-Sep-2026"/>
    <n v="38"/>
    <n v="25"/>
    <s v="Rahul"/>
    <s v="UPI"/>
    <s v="Friday"/>
  </r>
  <r>
    <x v="3"/>
    <s v="U104"/>
    <s v="R004"/>
    <x v="3"/>
    <s v="South Indian"/>
    <x v="3"/>
    <s v="04/09/2026"/>
    <s v="05/09/2026"/>
    <n v="45"/>
    <n v="40"/>
    <s v="Amit"/>
    <s v="COD"/>
    <s v="Saturday"/>
  </r>
  <r>
    <x v="4"/>
    <s v="U105"/>
    <s v="R010"/>
    <x v="4"/>
    <s v="Indian"/>
    <x v="4"/>
    <s v="05-09-2026"/>
    <s v="06-09-2026"/>
    <n v="32"/>
    <n v="30"/>
    <s v="Neeraj"/>
    <s v="UPI"/>
    <s v="Sunday"/>
  </r>
  <r>
    <x v="5"/>
    <s v="U106"/>
    <s v="R010"/>
    <x v="4"/>
    <s v="Indian"/>
    <x v="0"/>
    <s v="06/09/2026"/>
    <s v="07/09/2026"/>
    <n v="28"/>
    <n v="20"/>
    <s v="Vikas"/>
    <s v="Card"/>
    <s v="Monday"/>
  </r>
  <r>
    <x v="6"/>
    <s v="U107"/>
    <s v="R007"/>
    <x v="5"/>
    <s v="Street Food"/>
    <x v="1"/>
    <s v="07-09-2026"/>
    <s v="08-09-2026"/>
    <n v="36"/>
    <n v="25"/>
    <s v="Unassigned"/>
    <s v="UPI"/>
    <s v="Tuesday"/>
  </r>
  <r>
    <x v="7"/>
    <s v="U108"/>
    <s v="R008"/>
    <x v="6"/>
    <s v="Cafe"/>
    <x v="2"/>
    <s v="08/09/2026"/>
    <s v="09/09/2026"/>
    <n v="41"/>
    <n v="30"/>
    <s v="Sanjay"/>
    <s v="Card"/>
    <s v="Wednesday"/>
  </r>
  <r>
    <x v="8"/>
    <s v="U109"/>
    <s v="R009"/>
    <x v="7"/>
    <s v="Healthy Food"/>
    <x v="3"/>
    <s v="09-Sep-2026"/>
    <s v="10-Sep-2026"/>
    <n v="33"/>
    <n v="35"/>
    <s v="Ravi"/>
    <s v="UPI"/>
    <s v="Thursday"/>
  </r>
  <r>
    <x v="9"/>
    <s v="U110"/>
    <s v="R010"/>
    <x v="4"/>
    <s v="Indian"/>
    <x v="4"/>
    <s v="10/09/2026"/>
    <s v="11/09/2026"/>
    <n v="50"/>
    <n v="45"/>
    <s v="Karan"/>
    <s v="COD"/>
    <s v="Friday"/>
  </r>
  <r>
    <x v="10"/>
    <s v="U111"/>
    <s v="R009"/>
    <x v="7"/>
    <s v="Healthy Food"/>
    <x v="0"/>
    <s v="11-09-2026"/>
    <s v="12-09-2026"/>
    <n v="31"/>
    <n v="30"/>
    <s v="Rahul"/>
    <s v="UPI"/>
    <s v="Saturday"/>
  </r>
  <r>
    <x v="11"/>
    <s v="U112"/>
    <s v="R009"/>
    <x v="7"/>
    <s v="Healthy Food"/>
    <x v="1"/>
    <s v="12/09/2026"/>
    <s v="13/09/2026"/>
    <n v="47"/>
    <n v="40"/>
    <s v="Unassigned"/>
    <s v="Card"/>
    <s v="Sunday"/>
  </r>
  <r>
    <x v="12"/>
    <s v="U113"/>
    <s v="R009"/>
    <x v="7"/>
    <s v="Healthy Food"/>
    <x v="2"/>
    <s v="13-Sep-2026"/>
    <s v="14-Sep-2026"/>
    <n v="39"/>
    <n v="25"/>
    <s v="Amit"/>
    <s v="UPI"/>
    <s v="Monday"/>
  </r>
  <r>
    <x v="13"/>
    <s v="U114"/>
    <s v="R004"/>
    <x v="3"/>
    <s v="South Indian"/>
    <x v="3"/>
    <s v="14/09/2026"/>
    <s v="15/09/2026"/>
    <n v="44"/>
    <n v="35"/>
    <s v="Neeraj"/>
    <s v="COD"/>
    <s v="Tuesday"/>
  </r>
  <r>
    <x v="14"/>
    <s v="U115"/>
    <s v="R004"/>
    <x v="3"/>
    <s v="South Indian"/>
    <x v="4"/>
    <s v="15-09-2026"/>
    <s v="16-09-2026"/>
    <n v="37"/>
    <n v="30"/>
    <s v="Vikas"/>
    <s v="UPI"/>
    <s v="Wednesday"/>
  </r>
  <r>
    <x v="15"/>
    <s v="U116"/>
    <s v="R004"/>
    <x v="3"/>
    <s v="South Indian"/>
    <x v="0"/>
    <s v="16/09/2026"/>
    <s v="17/09/2026"/>
    <n v="29"/>
    <n v="20"/>
    <s v="Sanjay"/>
    <s v="Card"/>
    <s v="Thursday"/>
  </r>
  <r>
    <x v="16"/>
    <s v="U117"/>
    <s v="R004"/>
    <x v="3"/>
    <s v="South Indian"/>
    <x v="1"/>
    <s v="17-Sep-2026"/>
    <s v="18-Sep-2026"/>
    <n v="43"/>
    <n v="25"/>
    <s v="Unassigned"/>
    <s v="UPI"/>
    <s v="Friday"/>
  </r>
  <r>
    <x v="17"/>
    <s v="U118"/>
    <s v="R008"/>
    <x v="6"/>
    <s v="Cafe"/>
    <x v="2"/>
    <s v="18/09/2026"/>
    <s v="19/09/2026"/>
    <n v="34"/>
    <n v="30"/>
    <s v="Ravi"/>
    <s v="Card"/>
    <s v="Saturday"/>
  </r>
  <r>
    <x v="18"/>
    <s v="U119"/>
    <s v="R009"/>
    <x v="7"/>
    <s v="Healthy Food"/>
    <x v="3"/>
    <s v="19-09-2026"/>
    <s v="20-09-2026"/>
    <n v="48"/>
    <n v="35"/>
    <s v="Karan"/>
    <s v="UPI"/>
    <s v="Sunday"/>
  </r>
  <r>
    <x v="19"/>
    <s v="U120"/>
    <s v="R010"/>
    <x v="4"/>
    <s v="Indian"/>
    <x v="4"/>
    <s v="20/09/2026"/>
    <s v="21/09/2026"/>
    <n v="40"/>
    <n v="45"/>
    <s v="Rahul"/>
    <s v="COD"/>
    <s v="Monday"/>
  </r>
  <r>
    <x v="20"/>
    <s v="U121"/>
    <s v="R001"/>
    <x v="0"/>
    <s v="Indian"/>
    <x v="0"/>
    <s v="21-Sep-2026"/>
    <s v="22-Sep-2026"/>
    <n v="36"/>
    <n v="30"/>
    <s v="Amit"/>
    <s v="UPI"/>
    <s v="Tuesday"/>
  </r>
  <r>
    <x v="21"/>
    <s v="U122"/>
    <s v="R002"/>
    <x v="1"/>
    <s v="Biryani"/>
    <x v="1"/>
    <s v="22/09/2026"/>
    <s v="23/09/2026"/>
    <n v="52"/>
    <n v="40"/>
    <s v="Neeraj"/>
    <s v="Card"/>
    <s v="Wednesday"/>
  </r>
  <r>
    <x v="22"/>
    <s v="U123"/>
    <s v="R003"/>
    <x v="2"/>
    <s v="Pizza"/>
    <x v="2"/>
    <s v="23-09-2026"/>
    <s v="24-09-2026"/>
    <n v="30"/>
    <n v="25"/>
    <s v="Vikas"/>
    <s v="UPI"/>
    <s v="Thursday"/>
  </r>
  <r>
    <x v="23"/>
    <s v="U124"/>
    <s v="R004"/>
    <x v="3"/>
    <s v="South Indian"/>
    <x v="3"/>
    <s v="24/Sep/2026"/>
    <s v="25/Sep/2026"/>
    <n v="46"/>
    <n v="35"/>
    <s v="Sanjay"/>
    <s v="COD"/>
    <s v="Friday"/>
  </r>
  <r>
    <x v="24"/>
    <s v="U125"/>
    <s v="R005"/>
    <x v="8"/>
    <s v="North Indian"/>
    <x v="4"/>
    <s v="25/09/2026"/>
    <s v="26/09/2026"/>
    <n v="35"/>
    <n v="30"/>
    <s v="Unassigned"/>
    <s v="UPI"/>
    <s v="Saturday"/>
  </r>
  <r>
    <x v="25"/>
    <s v="U126"/>
    <s v="R006"/>
    <x v="9"/>
    <s v="Fast Food"/>
    <x v="0"/>
    <s v="26-09-2026"/>
    <s v="27-09-2026"/>
    <n v="27"/>
    <n v="20"/>
    <s v="Ravi"/>
    <s v="Card"/>
    <s v="Sunday"/>
  </r>
  <r>
    <x v="26"/>
    <s v="U127"/>
    <s v="R007"/>
    <x v="5"/>
    <s v="Street Food"/>
    <x v="1"/>
    <s v="27/09/2026"/>
    <s v="28/09/2026"/>
    <n v="49"/>
    <n v="25"/>
    <s v="Karan"/>
    <s v="UPI"/>
    <s v="Monday"/>
  </r>
  <r>
    <x v="27"/>
    <s v="U128"/>
    <s v="R008"/>
    <x v="6"/>
    <s v="Cafe"/>
    <x v="2"/>
    <s v="28-Sep-2026"/>
    <s v="29-Sep-2026"/>
    <n v="37"/>
    <n v="30"/>
    <s v="Rahul"/>
    <s v="Card"/>
    <s v="Tuesday"/>
  </r>
  <r>
    <x v="28"/>
    <s v="U129"/>
    <s v="R009"/>
    <x v="7"/>
    <s v="Healthy Food"/>
    <x v="3"/>
    <s v="29/09/2026"/>
    <s v="30/09/2026"/>
    <n v="42"/>
    <n v="35"/>
    <s v="Amit"/>
    <s v="UPI"/>
    <s v="Wednesday"/>
  </r>
  <r>
    <x v="29"/>
    <s v="U130"/>
    <s v="R010"/>
    <x v="4"/>
    <s v="Indian"/>
    <x v="4"/>
    <s v="30-09-2026"/>
    <s v="01-10-2026"/>
    <n v="55"/>
    <n v="45"/>
    <s v="Neeraj"/>
    <s v="COD"/>
    <s v="Thursday"/>
  </r>
  <r>
    <x v="30"/>
    <s v="U131"/>
    <s v="R001"/>
    <x v="0"/>
    <s v="Indian"/>
    <x v="0"/>
    <s v="01/10/2026"/>
    <s v="02/10/2026"/>
    <n v="33"/>
    <n v="30"/>
    <s v="Vikas"/>
    <s v="UPI"/>
    <s v="Friday"/>
  </r>
  <r>
    <x v="31"/>
    <s v="U132"/>
    <s v="R002"/>
    <x v="1"/>
    <s v="Biryani"/>
    <x v="1"/>
    <s v="02-Oct-2026"/>
    <s v="03-Oct-2026"/>
    <n v="45"/>
    <n v="40"/>
    <s v="Unassigned"/>
    <s v="Card"/>
    <s v="Saturday"/>
  </r>
  <r>
    <x v="32"/>
    <s v="U133"/>
    <s v="R003"/>
    <x v="2"/>
    <s v="Pizza"/>
    <x v="2"/>
    <s v="03/10/2026"/>
    <s v="04/10/2026"/>
    <n v="41"/>
    <n v="25"/>
    <s v="Sanjay"/>
    <s v="UPI"/>
    <s v="Sunday"/>
  </r>
  <r>
    <x v="33"/>
    <s v="U134"/>
    <s v="R004"/>
    <x v="3"/>
    <s v="South Indian"/>
    <x v="3"/>
    <s v="04-10-2026"/>
    <s v="05-10-2026"/>
    <n v="39"/>
    <n v="35"/>
    <s v="Ravi"/>
    <s v="COD"/>
    <s v="Monday"/>
  </r>
  <r>
    <x v="34"/>
    <s v="U135"/>
    <s v="R005"/>
    <x v="8"/>
    <s v="North Indian"/>
    <x v="4"/>
    <s v="05/10/2026"/>
    <s v="06/10/2026"/>
    <n v="51"/>
    <n v="30"/>
    <s v="Karan"/>
    <s v="UPI"/>
    <s v="Tuesday"/>
  </r>
  <r>
    <x v="35"/>
    <s v="U136"/>
    <s v="R006"/>
    <x v="9"/>
    <s v="Fast Food"/>
    <x v="0"/>
    <s v="06-Oct-2026"/>
    <s v="07-Oct-2026"/>
    <n v="30"/>
    <n v="20"/>
    <s v="Rahul"/>
    <s v="Card"/>
    <s v="Wednesday"/>
  </r>
  <r>
    <x v="36"/>
    <s v="U137"/>
    <s v="R007"/>
    <x v="5"/>
    <s v="Street Food"/>
    <x v="1"/>
    <s v="07/10/2026"/>
    <s v="08/10/2026"/>
    <n v="44"/>
    <n v="25"/>
    <s v="Unassigned"/>
    <s v="UPI"/>
    <s v="Thursday"/>
  </r>
  <r>
    <x v="37"/>
    <s v="U138"/>
    <s v="R008"/>
    <x v="6"/>
    <s v="Cafe"/>
    <x v="2"/>
    <s v="08-10-2026"/>
    <s v="09-10-2026"/>
    <n v="35"/>
    <n v="30"/>
    <s v="Amit"/>
    <s v="Card"/>
    <s v="Friday"/>
  </r>
  <r>
    <x v="38"/>
    <s v="U139"/>
    <s v="R009"/>
    <x v="7"/>
    <s v="Healthy Food"/>
    <x v="3"/>
    <s v="09/10/2026"/>
    <s v="10/10/2026"/>
    <n v="47"/>
    <n v="35"/>
    <s v="Neeraj"/>
    <s v="UPI"/>
    <s v="Saturday"/>
  </r>
  <r>
    <x v="39"/>
    <s v="U140"/>
    <s v="R010"/>
    <x v="4"/>
    <s v="Indian"/>
    <x v="4"/>
    <s v="10-Oct-2026"/>
    <s v="11-Oct-2026"/>
    <n v="53"/>
    <n v="45"/>
    <s v="Vikas"/>
    <s v="COD"/>
    <s v="Sunday"/>
  </r>
  <r>
    <x v="40"/>
    <s v="U141"/>
    <s v="R001"/>
    <x v="0"/>
    <s v="Indian"/>
    <x v="0"/>
    <s v="11/10/2026"/>
    <s v="12/10/2026"/>
    <n v="34"/>
    <n v="30"/>
    <s v="Unassigned"/>
    <s v="UPI"/>
    <s v="Monday"/>
  </r>
  <r>
    <x v="41"/>
    <s v="U142"/>
    <s v="R002"/>
    <x v="1"/>
    <s v="Biryani"/>
    <x v="1"/>
    <s v="12-10-2026"/>
    <s v="13-10-2026"/>
    <n v="46"/>
    <n v="40"/>
    <s v="Ravi"/>
    <s v="Card"/>
    <s v="Tuesday"/>
  </r>
  <r>
    <x v="42"/>
    <s v="U143"/>
    <s v="R003"/>
    <x v="2"/>
    <s v="Pizza"/>
    <x v="2"/>
    <s v="13-Oct-2026"/>
    <s v="14-Oct-2026"/>
    <n v="38"/>
    <n v="25"/>
    <s v="Karan"/>
    <s v="UPI"/>
    <s v="Wednesday"/>
  </r>
  <r>
    <x v="43"/>
    <s v="U144"/>
    <s v="R004"/>
    <x v="3"/>
    <s v="South Indian"/>
    <x v="3"/>
    <s v="14/10/2026"/>
    <s v="15/10/2026"/>
    <n v="43"/>
    <n v="35"/>
    <s v="Rahul"/>
    <s v="COD"/>
    <s v="Thursday"/>
  </r>
  <r>
    <x v="44"/>
    <s v="U145"/>
    <s v="R005"/>
    <x v="8"/>
    <s v="North Indian"/>
    <x v="4"/>
    <s v="15-10-2026"/>
    <s v="16-10-2026"/>
    <n v="36"/>
    <n v="30"/>
    <s v="Amit"/>
    <s v="UPI"/>
    <s v="Friday"/>
  </r>
  <r>
    <x v="45"/>
    <s v="U146"/>
    <s v="R006"/>
    <x v="9"/>
    <s v="Fast Food"/>
    <x v="0"/>
    <s v="16/10/2026"/>
    <s v="17/10/2026"/>
    <n v="29"/>
    <n v="20"/>
    <s v="Neeraj"/>
    <s v="Card"/>
    <s v="Saturday"/>
  </r>
  <r>
    <x v="46"/>
    <s v="U147"/>
    <s v="R007"/>
    <x v="5"/>
    <s v="Street Food"/>
    <x v="1"/>
    <s v="17-Oct-2026"/>
    <s v="18-Oct-2026"/>
    <n v="41"/>
    <n v="25"/>
    <s v="Unassigned"/>
    <s v="UPI"/>
    <s v="Sunday"/>
  </r>
  <r>
    <x v="47"/>
    <s v="U148"/>
    <s v="R008"/>
    <x v="6"/>
    <s v="Cafe"/>
    <x v="2"/>
    <s v="18/10/2026"/>
    <s v="19/10/2026"/>
    <n v="32"/>
    <n v="30"/>
    <s v="Vikas"/>
    <s v="Card"/>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6A4748-91C8-40D4-AFBE-287F35ED2A22}"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9" firstHeaderRow="0" firstDataRow="1" firstDataCol="1"/>
  <pivotFields count="13">
    <pivotField dataField="1" showAll="0"/>
    <pivotField showAll="0"/>
    <pivotField showAll="0"/>
    <pivotField showAll="0"/>
    <pivotField showAll="0"/>
    <pivotField axis="axisRow" showAll="0">
      <items count="6">
        <item x="4"/>
        <item x="3"/>
        <item x="1"/>
        <item x="0"/>
        <item x="2"/>
        <item t="default"/>
      </items>
    </pivotField>
    <pivotField showAll="0"/>
    <pivotField showAll="0"/>
    <pivotField showAll="0"/>
    <pivotField dataField="1" showAll="0"/>
    <pivotField showAll="0"/>
    <pivotField showAll="0"/>
    <pivotField showAll="0"/>
  </pivotFields>
  <rowFields count="1">
    <field x="5"/>
  </rowFields>
  <rowItems count="6">
    <i>
      <x/>
    </i>
    <i>
      <x v="1"/>
    </i>
    <i>
      <x v="2"/>
    </i>
    <i>
      <x v="3"/>
    </i>
    <i>
      <x v="4"/>
    </i>
    <i t="grand">
      <x/>
    </i>
  </rowItems>
  <colFields count="1">
    <field x="-2"/>
  </colFields>
  <colItems count="2">
    <i>
      <x/>
    </i>
    <i i="1">
      <x v="1"/>
    </i>
  </colItems>
  <dataFields count="2">
    <dataField name="Sum of Delivery Charge" fld="9" baseField="0" baseItem="0" numFmtId="169"/>
    <dataField name="Count of Order ID" fld="0" subtotal="count" baseField="0" baseItem="0"/>
  </dataFields>
  <formats count="2">
    <format dxfId="5">
      <pivotArea outline="0" collapsedLevelsAreSubtotals="1" fieldPosition="0"/>
    </format>
    <format dxfId="4">
      <pivotArea outline="0" collapsedLevelsAreSubtotals="1" fieldPosition="0">
        <references count="1">
          <reference field="4294967294" count="1" selected="0">
            <x v="1"/>
          </reference>
        </references>
      </pivotArea>
    </format>
  </format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 count="1" selected="0">
            <x v="4"/>
          </reference>
        </references>
      </pivotArea>
    </chartFormat>
    <chartFormat chart="7" format="2">
      <pivotArea type="data" outline="0" fieldPosition="0">
        <references count="2">
          <reference field="4294967294" count="1" selected="0">
            <x v="0"/>
          </reference>
          <reference field="5" count="1" selected="0">
            <x v="3"/>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89CF8E-3728-4145-95A1-B75BD2E9B7E2}"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8" firstHeaderRow="1" firstDataRow="1" firstDataCol="1"/>
  <pivotFields count="13">
    <pivotField dataField="1"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axis="axisRow" showAll="0">
      <items count="11">
        <item x="1"/>
        <item x="9"/>
        <item x="6"/>
        <item x="5"/>
        <item x="7"/>
        <item x="2"/>
        <item x="4"/>
        <item x="3"/>
        <item x="0"/>
        <item x="8"/>
        <item t="default"/>
      </items>
    </pivotField>
    <pivotField showAll="0"/>
    <pivotField showAll="0">
      <items count="6">
        <item x="4"/>
        <item x="3"/>
        <item x="1"/>
        <item x="0"/>
        <item x="2"/>
        <item t="default"/>
      </items>
    </pivotField>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E4F7D0-9388-4D69-A182-325A6E6C4F3F}"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2">
    <i>
      <x/>
    </i>
    <i i="1">
      <x v="1"/>
    </i>
  </colItems>
  <dataFields count="2">
    <dataField name="Count of Order ID" fld="0" subtotal="count" baseField="0" baseItem="0"/>
    <dataField name="Average of Delivery Time (min)" fld="8" subtotal="average" baseField="0" baseItem="0" numFmtId="178"/>
  </dataFields>
  <formats count="2">
    <format dxfId="2">
      <pivotArea dataOnly="0" labelOnly="1" outline="0" fieldPosition="0">
        <references count="1">
          <reference field="4294967294" count="2">
            <x v="0"/>
            <x v="1"/>
          </reference>
        </references>
      </pivotArea>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AEA328-18BF-4692-A97E-2A61F6BC27E1}" sourceName="City">
  <pivotTables>
    <pivotTable tabId="6" name="PivotTable3"/>
  </pivotTables>
  <data>
    <tabular pivotCacheId="818903622">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7068700-0E97-4628-9EA5-A05483A6CD98}" cache="Slicer_City" caption="City" columnCount="5" style="SlicerStyleLight5" rowHeight="23029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D4D8AD-EE62-4B5E-846F-B1EF6C29543D}" name="Table1" displayName="Table1" ref="A1:M49" totalsRowShown="0" headerRowDxfId="0">
  <autoFilter ref="A1:M49" xr:uid="{FCD4D8AD-EE62-4B5E-846F-B1EF6C29543D}"/>
  <tableColumns count="13">
    <tableColumn id="1" xr3:uid="{8213F21B-142A-4437-AACE-16C686245873}" name="Order ID"/>
    <tableColumn id="2" xr3:uid="{ED96ED87-0674-4297-B324-5B60F5A34550}" name="Customer ID"/>
    <tableColumn id="3" xr3:uid="{5247785A-60CA-44C5-80E8-EB4BD4651688}" name="Restaurant ID"/>
    <tableColumn id="4" xr3:uid="{89B8ECB2-5E58-4F9C-9232-CBC3B2D501A5}" name="Restaurant Name">
      <calculatedColumnFormula>VLOOKUP(C2,'Restaurant Details'!$A$1:$D$11,MATCH($D$1,'Restaurant Details'!$A$1:$D$1,0),FALSE)</calculatedColumnFormula>
    </tableColumn>
    <tableColumn id="5" xr3:uid="{54317642-5000-41E4-9301-4C30CA39E9D5}" name="Cuisine">
      <calculatedColumnFormula>VLOOKUP(C2,'Restaurant Details'!$A$1:$D$11,MATCH($E$1,'Restaurant Details'!$A$1:$D$1,0),FALSE)</calculatedColumnFormula>
    </tableColumn>
    <tableColumn id="6" xr3:uid="{9B7BA9E3-3383-4A2D-B9FD-8E8457FD4E19}" name="City"/>
    <tableColumn id="7" xr3:uid="{96240AE7-1F44-4B4D-9B51-FCD77C699C4F}" name="Order Date"/>
    <tableColumn id="8" xr3:uid="{AEC02137-6D6F-4140-8192-ECE7463B2447}" name="Delivery Date"/>
    <tableColumn id="9" xr3:uid="{1F58610B-4AC1-42F9-9548-A3B8E75A9956}" name="Delivery Time (min)"/>
    <tableColumn id="10" xr3:uid="{8CEBC03A-E2A0-4244-9E09-471EED01852E}" name="Delivery Charge"/>
    <tableColumn id="11" xr3:uid="{82DAE7E4-2CF9-479A-B455-B03DDE8D53CC}" name="Delivery Partner"/>
    <tableColumn id="12" xr3:uid="{46CA93CD-EE2F-4AC3-A8D4-CCBF40C38415}" name="Payment Mode"/>
    <tableColumn id="13" xr3:uid="{3C4AC16D-CCCF-4D7E-87CD-38754C658ED4}" name="Days">
      <calculatedColumnFormula>TEXT(H2,"dddd")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workbookViewId="0">
      <pane ySplit="1" topLeftCell="A2" activePane="bottomLeft" state="frozen"/>
      <selection pane="bottomLeft" activeCell="C12" sqref="A1:K52"/>
    </sheetView>
  </sheetViews>
  <sheetFormatPr defaultRowHeight="14.3" x14ac:dyDescent="0.25"/>
  <cols>
    <col min="1" max="1" width="10" customWidth="1"/>
    <col min="2" max="2" width="13" customWidth="1"/>
    <col min="3" max="3" width="15" customWidth="1"/>
    <col min="4" max="4" width="17" customWidth="1"/>
    <col min="5" max="5" width="11" customWidth="1"/>
    <col min="6" max="6" width="13" customWidth="1"/>
    <col min="7" max="7" width="15" customWidth="1"/>
    <col min="8" max="8" width="21" customWidth="1"/>
    <col min="9" max="9" width="17" customWidth="1"/>
    <col min="10" max="10" width="18" customWidth="1"/>
    <col min="11" max="11" width="14"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v>35</v>
      </c>
      <c r="I2">
        <v>30</v>
      </c>
      <c r="J2" t="s">
        <v>18</v>
      </c>
      <c r="K2" t="s">
        <v>19</v>
      </c>
    </row>
    <row r="3" spans="1:11" x14ac:dyDescent="0.25">
      <c r="A3" t="s">
        <v>20</v>
      </c>
      <c r="B3" t="s">
        <v>21</v>
      </c>
      <c r="C3" t="s">
        <v>22</v>
      </c>
      <c r="D3" t="s">
        <v>23</v>
      </c>
      <c r="E3" t="s">
        <v>24</v>
      </c>
      <c r="F3" t="s">
        <v>25</v>
      </c>
      <c r="G3" t="s">
        <v>26</v>
      </c>
      <c r="H3">
        <v>42</v>
      </c>
      <c r="I3">
        <v>35</v>
      </c>
      <c r="K3" t="s">
        <v>27</v>
      </c>
    </row>
    <row r="4" spans="1:11" x14ac:dyDescent="0.25">
      <c r="A4" t="s">
        <v>28</v>
      </c>
      <c r="B4" t="s">
        <v>29</v>
      </c>
      <c r="C4" t="s">
        <v>30</v>
      </c>
      <c r="D4" t="s">
        <v>31</v>
      </c>
      <c r="E4" t="s">
        <v>32</v>
      </c>
      <c r="F4" t="s">
        <v>33</v>
      </c>
      <c r="G4" t="s">
        <v>34</v>
      </c>
      <c r="H4">
        <v>38</v>
      </c>
      <c r="I4">
        <v>25</v>
      </c>
      <c r="J4" t="s">
        <v>35</v>
      </c>
      <c r="K4" t="s">
        <v>19</v>
      </c>
    </row>
    <row r="5" spans="1:11" x14ac:dyDescent="0.25">
      <c r="A5" t="s">
        <v>36</v>
      </c>
      <c r="B5" t="s">
        <v>37</v>
      </c>
      <c r="C5" t="s">
        <v>38</v>
      </c>
      <c r="D5" t="s">
        <v>39</v>
      </c>
      <c r="E5" t="s">
        <v>40</v>
      </c>
      <c r="F5" t="s">
        <v>41</v>
      </c>
      <c r="G5" t="s">
        <v>42</v>
      </c>
      <c r="H5">
        <v>45</v>
      </c>
      <c r="I5">
        <v>40</v>
      </c>
      <c r="J5" t="s">
        <v>43</v>
      </c>
      <c r="K5" t="s">
        <v>44</v>
      </c>
    </row>
    <row r="6" spans="1:11" x14ac:dyDescent="0.25">
      <c r="A6" t="s">
        <v>45</v>
      </c>
      <c r="B6" t="s">
        <v>46</v>
      </c>
      <c r="C6" t="s">
        <v>47</v>
      </c>
      <c r="D6" t="s">
        <v>48</v>
      </c>
      <c r="E6" t="s">
        <v>49</v>
      </c>
      <c r="F6" t="s">
        <v>50</v>
      </c>
      <c r="G6" t="s">
        <v>51</v>
      </c>
      <c r="H6">
        <v>32</v>
      </c>
      <c r="I6">
        <v>30</v>
      </c>
      <c r="J6" t="s">
        <v>52</v>
      </c>
      <c r="K6" t="s">
        <v>19</v>
      </c>
    </row>
    <row r="7" spans="1:11" x14ac:dyDescent="0.25">
      <c r="A7" t="s">
        <v>53</v>
      </c>
      <c r="B7" t="s">
        <v>54</v>
      </c>
      <c r="C7" t="s">
        <v>55</v>
      </c>
      <c r="D7" t="s">
        <v>56</v>
      </c>
      <c r="E7" t="s">
        <v>15</v>
      </c>
      <c r="F7" t="s">
        <v>57</v>
      </c>
      <c r="G7" t="s">
        <v>58</v>
      </c>
      <c r="H7">
        <v>28</v>
      </c>
      <c r="I7">
        <v>20</v>
      </c>
      <c r="J7" t="s">
        <v>59</v>
      </c>
      <c r="K7" t="s">
        <v>27</v>
      </c>
    </row>
    <row r="8" spans="1:11" x14ac:dyDescent="0.25">
      <c r="A8" t="s">
        <v>60</v>
      </c>
      <c r="B8" t="s">
        <v>61</v>
      </c>
      <c r="C8" t="s">
        <v>62</v>
      </c>
      <c r="D8" t="s">
        <v>63</v>
      </c>
      <c r="E8" t="s">
        <v>24</v>
      </c>
      <c r="F8" t="s">
        <v>64</v>
      </c>
      <c r="G8" t="s">
        <v>65</v>
      </c>
      <c r="H8">
        <v>36</v>
      </c>
      <c r="I8">
        <v>25</v>
      </c>
      <c r="K8" t="s">
        <v>19</v>
      </c>
    </row>
    <row r="9" spans="1:11" x14ac:dyDescent="0.25">
      <c r="A9" t="s">
        <v>66</v>
      </c>
      <c r="B9" t="s">
        <v>67</v>
      </c>
      <c r="C9" t="s">
        <v>68</v>
      </c>
      <c r="D9" t="s">
        <v>69</v>
      </c>
      <c r="E9" t="s">
        <v>32</v>
      </c>
      <c r="F9" t="s">
        <v>70</v>
      </c>
      <c r="G9" t="s">
        <v>71</v>
      </c>
      <c r="H9">
        <v>41</v>
      </c>
      <c r="I9">
        <v>30</v>
      </c>
      <c r="J9" t="s">
        <v>72</v>
      </c>
      <c r="K9" t="s">
        <v>27</v>
      </c>
    </row>
    <row r="10" spans="1:11" x14ac:dyDescent="0.25">
      <c r="A10" t="s">
        <v>73</v>
      </c>
      <c r="B10" t="s">
        <v>74</v>
      </c>
      <c r="C10" t="s">
        <v>75</v>
      </c>
      <c r="D10" t="s">
        <v>76</v>
      </c>
      <c r="E10" t="s">
        <v>40</v>
      </c>
      <c r="F10" t="s">
        <v>77</v>
      </c>
      <c r="G10" t="s">
        <v>78</v>
      </c>
      <c r="H10">
        <v>33</v>
      </c>
      <c r="I10">
        <v>35</v>
      </c>
      <c r="J10" t="s">
        <v>79</v>
      </c>
      <c r="K10" t="s">
        <v>19</v>
      </c>
    </row>
    <row r="11" spans="1:11" x14ac:dyDescent="0.25">
      <c r="A11" t="s">
        <v>80</v>
      </c>
      <c r="B11" t="s">
        <v>81</v>
      </c>
      <c r="C11" t="s">
        <v>82</v>
      </c>
      <c r="D11" t="s">
        <v>83</v>
      </c>
      <c r="E11" t="s">
        <v>49</v>
      </c>
      <c r="F11" t="s">
        <v>84</v>
      </c>
      <c r="G11" t="s">
        <v>85</v>
      </c>
      <c r="H11">
        <v>50</v>
      </c>
      <c r="I11">
        <v>45</v>
      </c>
      <c r="J11" t="s">
        <v>86</v>
      </c>
      <c r="K11" t="s">
        <v>44</v>
      </c>
    </row>
    <row r="12" spans="1:11" x14ac:dyDescent="0.25">
      <c r="A12" t="s">
        <v>87</v>
      </c>
      <c r="B12" t="s">
        <v>88</v>
      </c>
      <c r="C12" t="s">
        <v>13</v>
      </c>
      <c r="D12" t="s">
        <v>14</v>
      </c>
      <c r="E12" t="s">
        <v>15</v>
      </c>
      <c r="F12" t="s">
        <v>89</v>
      </c>
      <c r="G12" t="s">
        <v>90</v>
      </c>
      <c r="H12">
        <v>31</v>
      </c>
      <c r="I12">
        <v>30</v>
      </c>
      <c r="J12" t="s">
        <v>35</v>
      </c>
      <c r="K12" t="s">
        <v>19</v>
      </c>
    </row>
    <row r="13" spans="1:11" x14ac:dyDescent="0.25">
      <c r="A13" t="s">
        <v>91</v>
      </c>
      <c r="B13" t="s">
        <v>92</v>
      </c>
      <c r="C13" t="s">
        <v>22</v>
      </c>
      <c r="D13" t="s">
        <v>23</v>
      </c>
      <c r="E13" t="s">
        <v>24</v>
      </c>
      <c r="F13" t="s">
        <v>93</v>
      </c>
      <c r="G13" t="s">
        <v>94</v>
      </c>
      <c r="H13">
        <v>47</v>
      </c>
      <c r="I13">
        <v>40</v>
      </c>
      <c r="K13" t="s">
        <v>27</v>
      </c>
    </row>
    <row r="14" spans="1:11" x14ac:dyDescent="0.25">
      <c r="A14" t="s">
        <v>95</v>
      </c>
      <c r="B14" t="s">
        <v>96</v>
      </c>
      <c r="C14" t="s">
        <v>30</v>
      </c>
      <c r="D14" t="s">
        <v>31</v>
      </c>
      <c r="E14" t="s">
        <v>32</v>
      </c>
      <c r="F14" t="s">
        <v>97</v>
      </c>
      <c r="G14" t="s">
        <v>98</v>
      </c>
      <c r="H14">
        <v>39</v>
      </c>
      <c r="I14">
        <v>25</v>
      </c>
      <c r="J14" t="s">
        <v>43</v>
      </c>
      <c r="K14" t="s">
        <v>19</v>
      </c>
    </row>
    <row r="15" spans="1:11" x14ac:dyDescent="0.25">
      <c r="A15" t="s">
        <v>99</v>
      </c>
      <c r="B15" t="s">
        <v>100</v>
      </c>
      <c r="C15" t="s">
        <v>38</v>
      </c>
      <c r="D15" t="s">
        <v>39</v>
      </c>
      <c r="E15" t="s">
        <v>40</v>
      </c>
      <c r="F15" t="s">
        <v>101</v>
      </c>
      <c r="G15" t="s">
        <v>102</v>
      </c>
      <c r="H15">
        <v>44</v>
      </c>
      <c r="I15">
        <v>35</v>
      </c>
      <c r="J15" t="s">
        <v>52</v>
      </c>
      <c r="K15" t="s">
        <v>44</v>
      </c>
    </row>
    <row r="16" spans="1:11" x14ac:dyDescent="0.25">
      <c r="A16" t="s">
        <v>103</v>
      </c>
      <c r="B16" t="s">
        <v>104</v>
      </c>
      <c r="C16" t="s">
        <v>47</v>
      </c>
      <c r="D16" t="s">
        <v>48</v>
      </c>
      <c r="E16" t="s">
        <v>49</v>
      </c>
      <c r="F16" t="s">
        <v>105</v>
      </c>
      <c r="G16" t="s">
        <v>106</v>
      </c>
      <c r="H16">
        <v>37</v>
      </c>
      <c r="I16">
        <v>30</v>
      </c>
      <c r="J16" t="s">
        <v>59</v>
      </c>
      <c r="K16" t="s">
        <v>19</v>
      </c>
    </row>
    <row r="17" spans="1:11" x14ac:dyDescent="0.25">
      <c r="A17" t="s">
        <v>107</v>
      </c>
      <c r="B17" t="s">
        <v>108</v>
      </c>
      <c r="C17" t="s">
        <v>55</v>
      </c>
      <c r="D17" t="s">
        <v>56</v>
      </c>
      <c r="E17" t="s">
        <v>15</v>
      </c>
      <c r="F17" t="s">
        <v>109</v>
      </c>
      <c r="G17" t="s">
        <v>110</v>
      </c>
      <c r="H17">
        <v>29</v>
      </c>
      <c r="I17">
        <v>20</v>
      </c>
      <c r="J17" t="s">
        <v>72</v>
      </c>
      <c r="K17" t="s">
        <v>27</v>
      </c>
    </row>
    <row r="18" spans="1:11" x14ac:dyDescent="0.25">
      <c r="A18" t="s">
        <v>111</v>
      </c>
      <c r="B18" t="s">
        <v>112</v>
      </c>
      <c r="C18" t="s">
        <v>62</v>
      </c>
      <c r="D18" t="s">
        <v>63</v>
      </c>
      <c r="E18" t="s">
        <v>24</v>
      </c>
      <c r="F18" t="s">
        <v>113</v>
      </c>
      <c r="G18" t="s">
        <v>114</v>
      </c>
      <c r="H18">
        <v>43</v>
      </c>
      <c r="I18">
        <v>25</v>
      </c>
      <c r="K18" t="s">
        <v>19</v>
      </c>
    </row>
    <row r="19" spans="1:11" x14ac:dyDescent="0.25">
      <c r="A19" t="s">
        <v>115</v>
      </c>
      <c r="B19" t="s">
        <v>116</v>
      </c>
      <c r="C19" t="s">
        <v>68</v>
      </c>
      <c r="D19" t="s">
        <v>69</v>
      </c>
      <c r="E19" t="s">
        <v>32</v>
      </c>
      <c r="F19" t="s">
        <v>117</v>
      </c>
      <c r="G19" t="s">
        <v>118</v>
      </c>
      <c r="H19">
        <v>34</v>
      </c>
      <c r="I19">
        <v>30</v>
      </c>
      <c r="J19" t="s">
        <v>79</v>
      </c>
      <c r="K19" t="s">
        <v>27</v>
      </c>
    </row>
    <row r="20" spans="1:11" x14ac:dyDescent="0.25">
      <c r="A20" t="s">
        <v>119</v>
      </c>
      <c r="B20" t="s">
        <v>120</v>
      </c>
      <c r="C20" t="s">
        <v>75</v>
      </c>
      <c r="D20" t="s">
        <v>76</v>
      </c>
      <c r="E20" t="s">
        <v>40</v>
      </c>
      <c r="F20" t="s">
        <v>121</v>
      </c>
      <c r="G20" t="s">
        <v>122</v>
      </c>
      <c r="H20">
        <v>48</v>
      </c>
      <c r="I20">
        <v>35</v>
      </c>
      <c r="J20" t="s">
        <v>86</v>
      </c>
      <c r="K20" t="s">
        <v>19</v>
      </c>
    </row>
    <row r="21" spans="1:11" x14ac:dyDescent="0.25">
      <c r="A21" t="s">
        <v>123</v>
      </c>
      <c r="B21" t="s">
        <v>124</v>
      </c>
      <c r="C21" t="s">
        <v>82</v>
      </c>
      <c r="D21" t="s">
        <v>83</v>
      </c>
      <c r="E21" t="s">
        <v>49</v>
      </c>
      <c r="F21" t="s">
        <v>125</v>
      </c>
      <c r="G21" t="s">
        <v>126</v>
      </c>
      <c r="H21">
        <v>40</v>
      </c>
      <c r="I21">
        <v>45</v>
      </c>
      <c r="J21" t="s">
        <v>35</v>
      </c>
      <c r="K21" t="s">
        <v>44</v>
      </c>
    </row>
    <row r="22" spans="1:11" x14ac:dyDescent="0.25">
      <c r="A22" t="s">
        <v>127</v>
      </c>
      <c r="B22" t="s">
        <v>128</v>
      </c>
      <c r="C22" t="s">
        <v>13</v>
      </c>
      <c r="D22" t="s">
        <v>14</v>
      </c>
      <c r="E22" t="s">
        <v>15</v>
      </c>
      <c r="F22" t="s">
        <v>129</v>
      </c>
      <c r="G22" t="s">
        <v>130</v>
      </c>
      <c r="H22">
        <v>36</v>
      </c>
      <c r="I22">
        <v>30</v>
      </c>
      <c r="J22" t="s">
        <v>43</v>
      </c>
      <c r="K22" t="s">
        <v>19</v>
      </c>
    </row>
    <row r="23" spans="1:11" x14ac:dyDescent="0.25">
      <c r="A23" t="s">
        <v>131</v>
      </c>
      <c r="B23" t="s">
        <v>132</v>
      </c>
      <c r="C23" t="s">
        <v>22</v>
      </c>
      <c r="D23" t="s">
        <v>23</v>
      </c>
      <c r="E23" t="s">
        <v>24</v>
      </c>
      <c r="F23" t="s">
        <v>133</v>
      </c>
      <c r="G23" t="s">
        <v>134</v>
      </c>
      <c r="H23">
        <v>52</v>
      </c>
      <c r="I23">
        <v>40</v>
      </c>
      <c r="J23" t="s">
        <v>52</v>
      </c>
      <c r="K23" t="s">
        <v>27</v>
      </c>
    </row>
    <row r="24" spans="1:11" x14ac:dyDescent="0.25">
      <c r="A24" t="s">
        <v>135</v>
      </c>
      <c r="B24" t="s">
        <v>136</v>
      </c>
      <c r="C24" t="s">
        <v>30</v>
      </c>
      <c r="D24" t="s">
        <v>31</v>
      </c>
      <c r="E24" t="s">
        <v>32</v>
      </c>
      <c r="F24" t="s">
        <v>137</v>
      </c>
      <c r="G24" t="s">
        <v>138</v>
      </c>
      <c r="H24">
        <v>30</v>
      </c>
      <c r="I24">
        <v>25</v>
      </c>
      <c r="J24" t="s">
        <v>59</v>
      </c>
      <c r="K24" t="s">
        <v>19</v>
      </c>
    </row>
    <row r="25" spans="1:11" x14ac:dyDescent="0.25">
      <c r="A25" t="s">
        <v>139</v>
      </c>
      <c r="B25" t="s">
        <v>140</v>
      </c>
      <c r="C25" t="s">
        <v>38</v>
      </c>
      <c r="D25" t="s">
        <v>39</v>
      </c>
      <c r="E25" t="s">
        <v>40</v>
      </c>
      <c r="F25" t="s">
        <v>141</v>
      </c>
      <c r="G25" t="s">
        <v>142</v>
      </c>
      <c r="H25">
        <v>46</v>
      </c>
      <c r="I25">
        <v>35</v>
      </c>
      <c r="J25" t="s">
        <v>72</v>
      </c>
      <c r="K25" t="s">
        <v>44</v>
      </c>
    </row>
    <row r="26" spans="1:11" x14ac:dyDescent="0.25">
      <c r="A26" t="s">
        <v>143</v>
      </c>
      <c r="B26" t="s">
        <v>144</v>
      </c>
      <c r="C26" t="s">
        <v>47</v>
      </c>
      <c r="D26" t="s">
        <v>48</v>
      </c>
      <c r="E26" t="s">
        <v>49</v>
      </c>
      <c r="F26" t="s">
        <v>145</v>
      </c>
      <c r="G26" t="s">
        <v>146</v>
      </c>
      <c r="H26">
        <v>35</v>
      </c>
      <c r="I26">
        <v>30</v>
      </c>
      <c r="K26" t="s">
        <v>19</v>
      </c>
    </row>
    <row r="27" spans="1:11" x14ac:dyDescent="0.25">
      <c r="A27" t="s">
        <v>147</v>
      </c>
      <c r="B27" t="s">
        <v>148</v>
      </c>
      <c r="C27" t="s">
        <v>55</v>
      </c>
      <c r="D27" t="s">
        <v>56</v>
      </c>
      <c r="E27" t="s">
        <v>15</v>
      </c>
      <c r="F27" t="s">
        <v>149</v>
      </c>
      <c r="G27" t="s">
        <v>150</v>
      </c>
      <c r="H27">
        <v>27</v>
      </c>
      <c r="I27">
        <v>20</v>
      </c>
      <c r="J27" t="s">
        <v>79</v>
      </c>
      <c r="K27" t="s">
        <v>27</v>
      </c>
    </row>
    <row r="28" spans="1:11" x14ac:dyDescent="0.25">
      <c r="A28" t="s">
        <v>151</v>
      </c>
      <c r="B28" t="s">
        <v>152</v>
      </c>
      <c r="C28" t="s">
        <v>62</v>
      </c>
      <c r="D28" t="s">
        <v>63</v>
      </c>
      <c r="E28" t="s">
        <v>24</v>
      </c>
      <c r="F28" t="s">
        <v>153</v>
      </c>
      <c r="G28" t="s">
        <v>154</v>
      </c>
      <c r="H28">
        <v>49</v>
      </c>
      <c r="I28">
        <v>25</v>
      </c>
      <c r="J28" t="s">
        <v>86</v>
      </c>
      <c r="K28" t="s">
        <v>19</v>
      </c>
    </row>
    <row r="29" spans="1:11" x14ac:dyDescent="0.25">
      <c r="A29" t="s">
        <v>155</v>
      </c>
      <c r="B29" t="s">
        <v>156</v>
      </c>
      <c r="C29" t="s">
        <v>68</v>
      </c>
      <c r="D29" t="s">
        <v>69</v>
      </c>
      <c r="E29" t="s">
        <v>32</v>
      </c>
      <c r="F29" t="s">
        <v>157</v>
      </c>
      <c r="G29" t="s">
        <v>158</v>
      </c>
      <c r="H29">
        <v>37</v>
      </c>
      <c r="I29">
        <v>30</v>
      </c>
      <c r="J29" t="s">
        <v>35</v>
      </c>
      <c r="K29" t="s">
        <v>27</v>
      </c>
    </row>
    <row r="30" spans="1:11" x14ac:dyDescent="0.25">
      <c r="A30" t="s">
        <v>159</v>
      </c>
      <c r="B30" t="s">
        <v>160</v>
      </c>
      <c r="C30" t="s">
        <v>75</v>
      </c>
      <c r="D30" t="s">
        <v>76</v>
      </c>
      <c r="E30" t="s">
        <v>40</v>
      </c>
      <c r="F30" t="s">
        <v>161</v>
      </c>
      <c r="G30" t="s">
        <v>162</v>
      </c>
      <c r="H30">
        <v>42</v>
      </c>
      <c r="I30">
        <v>35</v>
      </c>
      <c r="J30" t="s">
        <v>43</v>
      </c>
      <c r="K30" t="s">
        <v>19</v>
      </c>
    </row>
    <row r="31" spans="1:11" x14ac:dyDescent="0.25">
      <c r="A31" t="s">
        <v>163</v>
      </c>
      <c r="B31" t="s">
        <v>164</v>
      </c>
      <c r="C31" t="s">
        <v>82</v>
      </c>
      <c r="D31" t="s">
        <v>83</v>
      </c>
      <c r="E31" t="s">
        <v>49</v>
      </c>
      <c r="F31" t="s">
        <v>165</v>
      </c>
      <c r="G31" t="s">
        <v>166</v>
      </c>
      <c r="H31">
        <v>55</v>
      </c>
      <c r="I31">
        <v>45</v>
      </c>
      <c r="J31" t="s">
        <v>52</v>
      </c>
      <c r="K31" t="s">
        <v>44</v>
      </c>
    </row>
    <row r="32" spans="1:11" x14ac:dyDescent="0.25">
      <c r="A32" t="s">
        <v>167</v>
      </c>
      <c r="B32" t="s">
        <v>168</v>
      </c>
      <c r="C32" t="s">
        <v>13</v>
      </c>
      <c r="D32" t="s">
        <v>14</v>
      </c>
      <c r="E32" t="s">
        <v>15</v>
      </c>
      <c r="F32" t="s">
        <v>169</v>
      </c>
      <c r="G32" t="s">
        <v>170</v>
      </c>
      <c r="H32">
        <v>33</v>
      </c>
      <c r="I32">
        <v>30</v>
      </c>
      <c r="J32" t="s">
        <v>59</v>
      </c>
      <c r="K32" t="s">
        <v>19</v>
      </c>
    </row>
    <row r="33" spans="1:11" x14ac:dyDescent="0.25">
      <c r="A33" t="s">
        <v>171</v>
      </c>
      <c r="B33" t="s">
        <v>172</v>
      </c>
      <c r="C33" t="s">
        <v>22</v>
      </c>
      <c r="D33" t="s">
        <v>23</v>
      </c>
      <c r="E33" t="s">
        <v>24</v>
      </c>
      <c r="F33" t="s">
        <v>173</v>
      </c>
      <c r="G33" t="s">
        <v>174</v>
      </c>
      <c r="H33">
        <v>45</v>
      </c>
      <c r="I33">
        <v>40</v>
      </c>
      <c r="K33" t="s">
        <v>27</v>
      </c>
    </row>
    <row r="34" spans="1:11" x14ac:dyDescent="0.25">
      <c r="A34" t="s">
        <v>175</v>
      </c>
      <c r="B34" t="s">
        <v>176</v>
      </c>
      <c r="C34" t="s">
        <v>30</v>
      </c>
      <c r="D34" t="s">
        <v>31</v>
      </c>
      <c r="E34" t="s">
        <v>32</v>
      </c>
      <c r="F34" t="s">
        <v>177</v>
      </c>
      <c r="G34" t="s">
        <v>178</v>
      </c>
      <c r="H34">
        <v>41</v>
      </c>
      <c r="I34">
        <v>25</v>
      </c>
      <c r="J34" t="s">
        <v>72</v>
      </c>
      <c r="K34" t="s">
        <v>19</v>
      </c>
    </row>
    <row r="35" spans="1:11" x14ac:dyDescent="0.25">
      <c r="A35" t="s">
        <v>179</v>
      </c>
      <c r="B35" t="s">
        <v>180</v>
      </c>
      <c r="C35" t="s">
        <v>38</v>
      </c>
      <c r="D35" t="s">
        <v>39</v>
      </c>
      <c r="E35" t="s">
        <v>40</v>
      </c>
      <c r="F35" t="s">
        <v>181</v>
      </c>
      <c r="G35" t="s">
        <v>182</v>
      </c>
      <c r="H35">
        <v>39</v>
      </c>
      <c r="I35">
        <v>35</v>
      </c>
      <c r="J35" t="s">
        <v>79</v>
      </c>
      <c r="K35" t="s">
        <v>44</v>
      </c>
    </row>
    <row r="36" spans="1:11" x14ac:dyDescent="0.25">
      <c r="A36" t="s">
        <v>183</v>
      </c>
      <c r="B36" t="s">
        <v>184</v>
      </c>
      <c r="C36" t="s">
        <v>47</v>
      </c>
      <c r="D36" t="s">
        <v>48</v>
      </c>
      <c r="E36" t="s">
        <v>49</v>
      </c>
      <c r="F36" t="s">
        <v>185</v>
      </c>
      <c r="G36" t="s">
        <v>186</v>
      </c>
      <c r="H36">
        <v>51</v>
      </c>
      <c r="I36">
        <v>30</v>
      </c>
      <c r="J36" t="s">
        <v>86</v>
      </c>
      <c r="K36" t="s">
        <v>19</v>
      </c>
    </row>
    <row r="37" spans="1:11" x14ac:dyDescent="0.25">
      <c r="A37" t="s">
        <v>187</v>
      </c>
      <c r="B37" t="s">
        <v>188</v>
      </c>
      <c r="C37" t="s">
        <v>55</v>
      </c>
      <c r="D37" t="s">
        <v>56</v>
      </c>
      <c r="E37" t="s">
        <v>15</v>
      </c>
      <c r="F37" t="s">
        <v>189</v>
      </c>
      <c r="G37" t="s">
        <v>190</v>
      </c>
      <c r="H37">
        <v>30</v>
      </c>
      <c r="I37">
        <v>20</v>
      </c>
      <c r="J37" t="s">
        <v>35</v>
      </c>
      <c r="K37" t="s">
        <v>27</v>
      </c>
    </row>
    <row r="38" spans="1:11" x14ac:dyDescent="0.25">
      <c r="A38" t="s">
        <v>191</v>
      </c>
      <c r="B38" t="s">
        <v>192</v>
      </c>
      <c r="C38" t="s">
        <v>62</v>
      </c>
      <c r="D38" t="s">
        <v>63</v>
      </c>
      <c r="E38" t="s">
        <v>24</v>
      </c>
      <c r="F38" t="s">
        <v>193</v>
      </c>
      <c r="G38" t="s">
        <v>194</v>
      </c>
      <c r="H38">
        <v>44</v>
      </c>
      <c r="I38">
        <v>25</v>
      </c>
      <c r="K38" t="s">
        <v>19</v>
      </c>
    </row>
    <row r="39" spans="1:11" x14ac:dyDescent="0.25">
      <c r="A39" t="s">
        <v>195</v>
      </c>
      <c r="B39" t="s">
        <v>196</v>
      </c>
      <c r="C39" t="s">
        <v>68</v>
      </c>
      <c r="D39" t="s">
        <v>69</v>
      </c>
      <c r="E39" t="s">
        <v>32</v>
      </c>
      <c r="F39" t="s">
        <v>197</v>
      </c>
      <c r="G39" t="s">
        <v>198</v>
      </c>
      <c r="H39">
        <v>35</v>
      </c>
      <c r="I39">
        <v>30</v>
      </c>
      <c r="J39" t="s">
        <v>43</v>
      </c>
      <c r="K39" t="s">
        <v>27</v>
      </c>
    </row>
    <row r="40" spans="1:11" x14ac:dyDescent="0.25">
      <c r="A40" t="s">
        <v>199</v>
      </c>
      <c r="B40" t="s">
        <v>200</v>
      </c>
      <c r="C40" t="s">
        <v>75</v>
      </c>
      <c r="D40" t="s">
        <v>76</v>
      </c>
      <c r="E40" t="s">
        <v>40</v>
      </c>
      <c r="F40" t="s">
        <v>201</v>
      </c>
      <c r="G40" t="s">
        <v>202</v>
      </c>
      <c r="H40">
        <v>47</v>
      </c>
      <c r="I40">
        <v>35</v>
      </c>
      <c r="J40" t="s">
        <v>52</v>
      </c>
      <c r="K40" t="s">
        <v>19</v>
      </c>
    </row>
    <row r="41" spans="1:11" x14ac:dyDescent="0.25">
      <c r="A41" t="s">
        <v>203</v>
      </c>
      <c r="B41" t="s">
        <v>204</v>
      </c>
      <c r="C41" t="s">
        <v>82</v>
      </c>
      <c r="D41" t="s">
        <v>83</v>
      </c>
      <c r="E41" t="s">
        <v>49</v>
      </c>
      <c r="F41" t="s">
        <v>205</v>
      </c>
      <c r="G41" t="s">
        <v>206</v>
      </c>
      <c r="H41">
        <v>53</v>
      </c>
      <c r="I41">
        <v>45</v>
      </c>
      <c r="J41" t="s">
        <v>59</v>
      </c>
      <c r="K41" t="s">
        <v>44</v>
      </c>
    </row>
    <row r="42" spans="1:11" x14ac:dyDescent="0.25">
      <c r="A42" t="s">
        <v>123</v>
      </c>
      <c r="B42" t="s">
        <v>124</v>
      </c>
      <c r="C42" t="s">
        <v>82</v>
      </c>
      <c r="D42" t="s">
        <v>83</v>
      </c>
      <c r="E42" t="s">
        <v>49</v>
      </c>
      <c r="F42" t="s">
        <v>125</v>
      </c>
      <c r="G42" t="s">
        <v>126</v>
      </c>
      <c r="H42">
        <v>40</v>
      </c>
      <c r="I42">
        <v>45</v>
      </c>
      <c r="J42" t="s">
        <v>35</v>
      </c>
      <c r="K42" t="s">
        <v>44</v>
      </c>
    </row>
    <row r="43" spans="1:11" x14ac:dyDescent="0.25">
      <c r="A43" t="s">
        <v>80</v>
      </c>
      <c r="B43" t="s">
        <v>81</v>
      </c>
      <c r="C43" t="s">
        <v>82</v>
      </c>
      <c r="D43" t="s">
        <v>83</v>
      </c>
      <c r="E43" t="s">
        <v>49</v>
      </c>
      <c r="F43" t="s">
        <v>84</v>
      </c>
      <c r="G43" t="s">
        <v>85</v>
      </c>
      <c r="H43">
        <v>50</v>
      </c>
      <c r="I43">
        <v>45</v>
      </c>
      <c r="J43" t="s">
        <v>86</v>
      </c>
      <c r="K43" t="s">
        <v>44</v>
      </c>
    </row>
    <row r="44" spans="1:11" x14ac:dyDescent="0.25">
      <c r="A44" t="s">
        <v>163</v>
      </c>
      <c r="B44" t="s">
        <v>164</v>
      </c>
      <c r="C44" t="s">
        <v>82</v>
      </c>
      <c r="D44" t="s">
        <v>83</v>
      </c>
      <c r="E44" t="s">
        <v>49</v>
      </c>
      <c r="F44" t="s">
        <v>165</v>
      </c>
      <c r="G44" t="s">
        <v>166</v>
      </c>
      <c r="H44">
        <v>55</v>
      </c>
      <c r="I44">
        <v>45</v>
      </c>
      <c r="J44" t="s">
        <v>52</v>
      </c>
      <c r="K44" t="s">
        <v>44</v>
      </c>
    </row>
    <row r="45" spans="1:11" x14ac:dyDescent="0.25">
      <c r="A45" t="s">
        <v>207</v>
      </c>
      <c r="B45" t="s">
        <v>208</v>
      </c>
      <c r="C45" t="s">
        <v>13</v>
      </c>
      <c r="D45" t="s">
        <v>14</v>
      </c>
      <c r="E45" t="s">
        <v>15</v>
      </c>
      <c r="F45" t="s">
        <v>209</v>
      </c>
      <c r="G45" t="s">
        <v>210</v>
      </c>
      <c r="H45">
        <v>34</v>
      </c>
      <c r="I45">
        <v>30</v>
      </c>
      <c r="K45" t="s">
        <v>19</v>
      </c>
    </row>
    <row r="46" spans="1:11" x14ac:dyDescent="0.25">
      <c r="A46" t="s">
        <v>211</v>
      </c>
      <c r="B46" t="s">
        <v>212</v>
      </c>
      <c r="C46" t="s">
        <v>22</v>
      </c>
      <c r="D46" t="s">
        <v>23</v>
      </c>
      <c r="E46" t="s">
        <v>24</v>
      </c>
      <c r="F46" t="s">
        <v>213</v>
      </c>
      <c r="G46" t="s">
        <v>214</v>
      </c>
      <c r="H46">
        <v>46</v>
      </c>
      <c r="I46">
        <v>40</v>
      </c>
      <c r="J46" t="s">
        <v>79</v>
      </c>
      <c r="K46" t="s">
        <v>27</v>
      </c>
    </row>
    <row r="47" spans="1:11" x14ac:dyDescent="0.25">
      <c r="A47" t="s">
        <v>215</v>
      </c>
      <c r="B47" t="s">
        <v>216</v>
      </c>
      <c r="C47" t="s">
        <v>30</v>
      </c>
      <c r="D47" t="s">
        <v>31</v>
      </c>
      <c r="E47" t="s">
        <v>32</v>
      </c>
      <c r="F47" t="s">
        <v>217</v>
      </c>
      <c r="G47" t="s">
        <v>218</v>
      </c>
      <c r="H47">
        <v>38</v>
      </c>
      <c r="I47">
        <v>25</v>
      </c>
      <c r="J47" t="s">
        <v>86</v>
      </c>
      <c r="K47" t="s">
        <v>19</v>
      </c>
    </row>
    <row r="48" spans="1:11" x14ac:dyDescent="0.25">
      <c r="A48" t="s">
        <v>219</v>
      </c>
      <c r="B48" t="s">
        <v>220</v>
      </c>
      <c r="C48" t="s">
        <v>38</v>
      </c>
      <c r="D48" t="s">
        <v>39</v>
      </c>
      <c r="E48" t="s">
        <v>40</v>
      </c>
      <c r="F48" t="s">
        <v>221</v>
      </c>
      <c r="G48" t="s">
        <v>222</v>
      </c>
      <c r="H48">
        <v>43</v>
      </c>
      <c r="I48">
        <v>35</v>
      </c>
      <c r="J48" t="s">
        <v>35</v>
      </c>
      <c r="K48" t="s">
        <v>44</v>
      </c>
    </row>
    <row r="49" spans="1:11" x14ac:dyDescent="0.25">
      <c r="A49" t="s">
        <v>223</v>
      </c>
      <c r="B49" t="s">
        <v>224</v>
      </c>
      <c r="C49" t="s">
        <v>47</v>
      </c>
      <c r="D49" t="s">
        <v>48</v>
      </c>
      <c r="E49" t="s">
        <v>49</v>
      </c>
      <c r="F49" t="s">
        <v>225</v>
      </c>
      <c r="G49" t="s">
        <v>226</v>
      </c>
      <c r="H49">
        <v>36</v>
      </c>
      <c r="I49">
        <v>30</v>
      </c>
      <c r="J49" t="s">
        <v>43</v>
      </c>
      <c r="K49" t="s">
        <v>19</v>
      </c>
    </row>
    <row r="50" spans="1:11" x14ac:dyDescent="0.25">
      <c r="A50" t="s">
        <v>227</v>
      </c>
      <c r="B50" t="s">
        <v>228</v>
      </c>
      <c r="C50" t="s">
        <v>55</v>
      </c>
      <c r="D50" t="s">
        <v>56</v>
      </c>
      <c r="E50" t="s">
        <v>15</v>
      </c>
      <c r="F50" t="s">
        <v>229</v>
      </c>
      <c r="G50" t="s">
        <v>230</v>
      </c>
      <c r="H50">
        <v>29</v>
      </c>
      <c r="I50">
        <v>20</v>
      </c>
      <c r="J50" t="s">
        <v>52</v>
      </c>
      <c r="K50" t="s">
        <v>27</v>
      </c>
    </row>
    <row r="51" spans="1:11" x14ac:dyDescent="0.25">
      <c r="A51" t="s">
        <v>231</v>
      </c>
      <c r="B51" t="s">
        <v>232</v>
      </c>
      <c r="C51" t="s">
        <v>62</v>
      </c>
      <c r="D51" t="s">
        <v>63</v>
      </c>
      <c r="E51" t="s">
        <v>24</v>
      </c>
      <c r="F51" t="s">
        <v>233</v>
      </c>
      <c r="G51" t="s">
        <v>234</v>
      </c>
      <c r="H51">
        <v>41</v>
      </c>
      <c r="I51">
        <v>25</v>
      </c>
      <c r="K51" t="s">
        <v>19</v>
      </c>
    </row>
    <row r="52" spans="1:11" x14ac:dyDescent="0.25">
      <c r="A52" t="s">
        <v>235</v>
      </c>
      <c r="B52" t="s">
        <v>236</v>
      </c>
      <c r="C52" t="s">
        <v>68</v>
      </c>
      <c r="D52" t="s">
        <v>69</v>
      </c>
      <c r="E52" t="s">
        <v>32</v>
      </c>
      <c r="F52" t="s">
        <v>237</v>
      </c>
      <c r="G52" t="s">
        <v>238</v>
      </c>
      <c r="H52">
        <v>32</v>
      </c>
      <c r="I52">
        <v>30</v>
      </c>
      <c r="J52" t="s">
        <v>59</v>
      </c>
      <c r="K5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pane ySplit="1" topLeftCell="A2" activePane="bottomLeft" state="frozen"/>
      <selection pane="bottomLeft" activeCell="B1" sqref="B1"/>
    </sheetView>
  </sheetViews>
  <sheetFormatPr defaultRowHeight="14.3" x14ac:dyDescent="0.25"/>
  <cols>
    <col min="1" max="1" width="15" customWidth="1"/>
    <col min="2" max="2" width="17" customWidth="1"/>
    <col min="3" max="3" width="14" customWidth="1"/>
    <col min="4" max="4" width="17" customWidth="1"/>
  </cols>
  <sheetData>
    <row r="1" spans="1:4" x14ac:dyDescent="0.25">
      <c r="A1" s="1" t="s">
        <v>2</v>
      </c>
      <c r="B1" s="1" t="s">
        <v>3</v>
      </c>
      <c r="C1" s="1" t="s">
        <v>239</v>
      </c>
      <c r="D1" s="1" t="s">
        <v>240</v>
      </c>
    </row>
    <row r="2" spans="1:4" x14ac:dyDescent="0.25">
      <c r="A2" t="s">
        <v>13</v>
      </c>
      <c r="B2" t="s">
        <v>14</v>
      </c>
      <c r="C2" t="s">
        <v>241</v>
      </c>
      <c r="D2" t="s">
        <v>15</v>
      </c>
    </row>
    <row r="3" spans="1:4" x14ac:dyDescent="0.25">
      <c r="A3" t="s">
        <v>22</v>
      </c>
      <c r="B3" t="s">
        <v>23</v>
      </c>
      <c r="C3" t="s">
        <v>242</v>
      </c>
      <c r="D3" t="s">
        <v>24</v>
      </c>
    </row>
    <row r="4" spans="1:4" x14ac:dyDescent="0.25">
      <c r="A4" t="s">
        <v>30</v>
      </c>
      <c r="B4" t="s">
        <v>31</v>
      </c>
      <c r="C4" t="s">
        <v>243</v>
      </c>
      <c r="D4" t="s">
        <v>32</v>
      </c>
    </row>
    <row r="5" spans="1:4" x14ac:dyDescent="0.25">
      <c r="A5" t="s">
        <v>38</v>
      </c>
      <c r="B5" t="s">
        <v>39</v>
      </c>
      <c r="C5" t="s">
        <v>244</v>
      </c>
      <c r="D5" t="s">
        <v>40</v>
      </c>
    </row>
    <row r="6" spans="1:4" x14ac:dyDescent="0.25">
      <c r="A6" t="s">
        <v>47</v>
      </c>
      <c r="B6" t="s">
        <v>48</v>
      </c>
      <c r="C6" t="s">
        <v>245</v>
      </c>
      <c r="D6" t="s">
        <v>49</v>
      </c>
    </row>
    <row r="7" spans="1:4" x14ac:dyDescent="0.25">
      <c r="A7" t="s">
        <v>55</v>
      </c>
      <c r="B7" t="s">
        <v>56</v>
      </c>
      <c r="C7" t="s">
        <v>246</v>
      </c>
      <c r="D7" t="s">
        <v>15</v>
      </c>
    </row>
    <row r="8" spans="1:4" x14ac:dyDescent="0.25">
      <c r="A8" t="s">
        <v>62</v>
      </c>
      <c r="B8" t="s">
        <v>63</v>
      </c>
      <c r="C8" t="s">
        <v>247</v>
      </c>
      <c r="D8" t="s">
        <v>24</v>
      </c>
    </row>
    <row r="9" spans="1:4" x14ac:dyDescent="0.25">
      <c r="A9" t="s">
        <v>68</v>
      </c>
      <c r="B9" t="s">
        <v>69</v>
      </c>
      <c r="C9" t="s">
        <v>248</v>
      </c>
      <c r="D9" t="s">
        <v>32</v>
      </c>
    </row>
    <row r="10" spans="1:4" x14ac:dyDescent="0.25">
      <c r="A10" t="s">
        <v>75</v>
      </c>
      <c r="B10" t="s">
        <v>76</v>
      </c>
      <c r="C10" t="s">
        <v>249</v>
      </c>
      <c r="D10" t="s">
        <v>40</v>
      </c>
    </row>
    <row r="11" spans="1:4" x14ac:dyDescent="0.25">
      <c r="A11" t="s">
        <v>82</v>
      </c>
      <c r="B11" t="s">
        <v>83</v>
      </c>
      <c r="C11" t="s">
        <v>241</v>
      </c>
      <c r="D11" t="s">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6D55B-F6D4-421C-B822-D41A7BB57E94}">
  <dimension ref="A1:M49"/>
  <sheetViews>
    <sheetView workbookViewId="0">
      <selection activeCell="I20" sqref="I20"/>
    </sheetView>
  </sheetViews>
  <sheetFormatPr defaultRowHeight="14.3" x14ac:dyDescent="0.25"/>
  <cols>
    <col min="1" max="1" width="10.7109375" customWidth="1"/>
    <col min="2" max="2" width="14.140625" customWidth="1"/>
    <col min="3" max="3" width="15.140625" customWidth="1"/>
    <col min="4" max="4" width="18.5703125" customWidth="1"/>
    <col min="5" max="5" width="16.42578125" customWidth="1"/>
    <col min="6" max="6" width="11.7109375" bestFit="1" customWidth="1"/>
    <col min="7" max="7" width="13" customWidth="1"/>
    <col min="8" max="8" width="15.28515625" customWidth="1"/>
    <col min="9" max="9" width="20.85546875" customWidth="1"/>
    <col min="10" max="10" width="17.28515625" customWidth="1"/>
    <col min="11" max="11" width="17.7109375" customWidth="1"/>
    <col min="12" max="12" width="16.85546875" customWidth="1"/>
    <col min="13" max="13" width="13.42578125" customWidth="1"/>
  </cols>
  <sheetData>
    <row r="1" spans="1:13" x14ac:dyDescent="0.25">
      <c r="A1" s="1" t="s">
        <v>0</v>
      </c>
      <c r="B1" s="1" t="s">
        <v>1</v>
      </c>
      <c r="C1" s="1" t="s">
        <v>2</v>
      </c>
      <c r="D1" s="1" t="s">
        <v>3</v>
      </c>
      <c r="E1" s="1" t="s">
        <v>239</v>
      </c>
      <c r="F1" s="1" t="s">
        <v>4</v>
      </c>
      <c r="G1" s="1" t="s">
        <v>5</v>
      </c>
      <c r="H1" s="1" t="s">
        <v>6</v>
      </c>
      <c r="I1" s="1" t="s">
        <v>7</v>
      </c>
      <c r="J1" s="1" t="s">
        <v>8</v>
      </c>
      <c r="K1" s="1" t="s">
        <v>9</v>
      </c>
      <c r="L1" s="1" t="s">
        <v>10</v>
      </c>
      <c r="M1" s="2" t="s">
        <v>251</v>
      </c>
    </row>
    <row r="2" spans="1:13" x14ac:dyDescent="0.25">
      <c r="A2" t="s">
        <v>11</v>
      </c>
      <c r="B2" t="s">
        <v>12</v>
      </c>
      <c r="C2" t="s">
        <v>13</v>
      </c>
      <c r="D2" t="str">
        <f>VLOOKUP(C2,'Restaurant Details'!$A$1:$D$11,MATCH($D$1,'Restaurant Details'!$A$1:$D$1,0),FALSE)</f>
        <v>Spice Hub</v>
      </c>
      <c r="E2" t="str">
        <f>VLOOKUP(C2,'Restaurant Details'!$A$1:$D$11,MATCH($E$1,'Restaurant Details'!$A$1:$D$1,0),FALSE)</f>
        <v>Indian</v>
      </c>
      <c r="F2" t="s">
        <v>15</v>
      </c>
      <c r="G2" t="s">
        <v>16</v>
      </c>
      <c r="H2" t="s">
        <v>17</v>
      </c>
      <c r="I2">
        <v>35</v>
      </c>
      <c r="J2">
        <v>30</v>
      </c>
      <c r="K2" t="s">
        <v>18</v>
      </c>
      <c r="L2" t="s">
        <v>19</v>
      </c>
      <c r="M2" t="str">
        <f>TEXT(H2,"dddd")</f>
        <v>Wednesday</v>
      </c>
    </row>
    <row r="3" spans="1:13" x14ac:dyDescent="0.25">
      <c r="A3" t="s">
        <v>20</v>
      </c>
      <c r="B3" t="s">
        <v>21</v>
      </c>
      <c r="C3" t="s">
        <v>22</v>
      </c>
      <c r="D3" t="str">
        <f>VLOOKUP(C3,'Restaurant Details'!$A$1:$D$11,MATCH($D$1,'Restaurant Details'!$A$1:$D$1,0),FALSE)</f>
        <v>Biryani House</v>
      </c>
      <c r="E3" t="str">
        <f>VLOOKUP(C3,'Restaurant Details'!$A$1:$D$11,MATCH($E$1,'Restaurant Details'!$A$1:$D$1,0),FALSE)</f>
        <v>Biryani</v>
      </c>
      <c r="F3" t="s">
        <v>24</v>
      </c>
      <c r="G3" t="s">
        <v>25</v>
      </c>
      <c r="H3" t="s">
        <v>26</v>
      </c>
      <c r="I3">
        <v>42</v>
      </c>
      <c r="J3">
        <v>35</v>
      </c>
      <c r="K3" t="s">
        <v>250</v>
      </c>
      <c r="L3" t="s">
        <v>27</v>
      </c>
      <c r="M3" t="str">
        <f t="shared" ref="M3:M49" si="0">TEXT(H3,"dddd")</f>
        <v>Thursday</v>
      </c>
    </row>
    <row r="4" spans="1:13" x14ac:dyDescent="0.25">
      <c r="A4" t="s">
        <v>28</v>
      </c>
      <c r="B4" t="s">
        <v>29</v>
      </c>
      <c r="C4" t="s">
        <v>30</v>
      </c>
      <c r="D4" t="str">
        <f>VLOOKUP(C4,'Restaurant Details'!$A$1:$D$11,MATCH($D$1,'Restaurant Details'!$A$1:$D$1,0),FALSE)</f>
        <v>Pizza Corner</v>
      </c>
      <c r="E4" t="str">
        <f>VLOOKUP(C4,'Restaurant Details'!$A$1:$D$11,MATCH($E$1,'Restaurant Details'!$A$1:$D$1,0),FALSE)</f>
        <v>Pizza</v>
      </c>
      <c r="F4" t="s">
        <v>32</v>
      </c>
      <c r="G4" t="s">
        <v>33</v>
      </c>
      <c r="H4" t="s">
        <v>34</v>
      </c>
      <c r="I4">
        <v>38</v>
      </c>
      <c r="J4">
        <v>25</v>
      </c>
      <c r="K4" t="s">
        <v>35</v>
      </c>
      <c r="L4" t="s">
        <v>19</v>
      </c>
      <c r="M4" t="str">
        <f t="shared" si="0"/>
        <v>Friday</v>
      </c>
    </row>
    <row r="5" spans="1:13" x14ac:dyDescent="0.25">
      <c r="A5" t="s">
        <v>36</v>
      </c>
      <c r="B5" t="s">
        <v>37</v>
      </c>
      <c r="C5" t="s">
        <v>38</v>
      </c>
      <c r="D5" t="str">
        <f>VLOOKUP(C5,'Restaurant Details'!$A$1:$D$11,MATCH($D$1,'Restaurant Details'!$A$1:$D$1,0),FALSE)</f>
        <v>South Treat</v>
      </c>
      <c r="E5" t="str">
        <f>VLOOKUP(C5,'Restaurant Details'!$A$1:$D$11,MATCH($E$1,'Restaurant Details'!$A$1:$D$1,0),FALSE)</f>
        <v>South Indian</v>
      </c>
      <c r="F5" t="s">
        <v>40</v>
      </c>
      <c r="G5" t="s">
        <v>41</v>
      </c>
      <c r="H5" t="s">
        <v>42</v>
      </c>
      <c r="I5">
        <v>45</v>
      </c>
      <c r="J5">
        <v>40</v>
      </c>
      <c r="K5" t="s">
        <v>43</v>
      </c>
      <c r="L5" t="s">
        <v>44</v>
      </c>
      <c r="M5" t="str">
        <f t="shared" si="0"/>
        <v>Saturday</v>
      </c>
    </row>
    <row r="6" spans="1:13" x14ac:dyDescent="0.25">
      <c r="A6" t="s">
        <v>45</v>
      </c>
      <c r="B6" t="s">
        <v>46</v>
      </c>
      <c r="C6" t="s">
        <v>82</v>
      </c>
      <c r="D6" t="str">
        <f>VLOOKUP(C6,'Restaurant Details'!$A$1:$D$11,MATCH($D$1,'Restaurant Details'!$A$1:$D$1,0),FALSE)</f>
        <v>Royal Thali</v>
      </c>
      <c r="E6" t="str">
        <f>VLOOKUP(C6,'Restaurant Details'!$A$1:$D$11,MATCH($E$1,'Restaurant Details'!$A$1:$D$1,0),FALSE)</f>
        <v>Indian</v>
      </c>
      <c r="F6" t="s">
        <v>49</v>
      </c>
      <c r="G6" t="s">
        <v>50</v>
      </c>
      <c r="H6" t="s">
        <v>51</v>
      </c>
      <c r="I6">
        <v>32</v>
      </c>
      <c r="J6">
        <v>30</v>
      </c>
      <c r="K6" t="s">
        <v>52</v>
      </c>
      <c r="L6" t="s">
        <v>19</v>
      </c>
      <c r="M6" t="str">
        <f t="shared" si="0"/>
        <v>Sunday</v>
      </c>
    </row>
    <row r="7" spans="1:13" x14ac:dyDescent="0.25">
      <c r="A7" t="s">
        <v>53</v>
      </c>
      <c r="B7" t="s">
        <v>54</v>
      </c>
      <c r="C7" t="s">
        <v>82</v>
      </c>
      <c r="D7" t="str">
        <f>VLOOKUP(C7,'Restaurant Details'!$A$1:$D$11,MATCH($D$1,'Restaurant Details'!$A$1:$D$1,0),FALSE)</f>
        <v>Royal Thali</v>
      </c>
      <c r="E7" t="str">
        <f>VLOOKUP(C7,'Restaurant Details'!$A$1:$D$11,MATCH($E$1,'Restaurant Details'!$A$1:$D$1,0),FALSE)</f>
        <v>Indian</v>
      </c>
      <c r="F7" t="s">
        <v>15</v>
      </c>
      <c r="G7" t="s">
        <v>57</v>
      </c>
      <c r="H7" t="s">
        <v>58</v>
      </c>
      <c r="I7">
        <v>28</v>
      </c>
      <c r="J7">
        <v>20</v>
      </c>
      <c r="K7" t="s">
        <v>59</v>
      </c>
      <c r="L7" t="s">
        <v>27</v>
      </c>
      <c r="M7" t="str">
        <f t="shared" si="0"/>
        <v>Monday</v>
      </c>
    </row>
    <row r="8" spans="1:13" x14ac:dyDescent="0.25">
      <c r="A8" t="s">
        <v>60</v>
      </c>
      <c r="B8" t="s">
        <v>61</v>
      </c>
      <c r="C8" t="s">
        <v>62</v>
      </c>
      <c r="D8" t="str">
        <f>VLOOKUP(C8,'Restaurant Details'!$A$1:$D$11,MATCH($D$1,'Restaurant Details'!$A$1:$D$1,0),FALSE)</f>
        <v>Chaat Junction</v>
      </c>
      <c r="E8" t="str">
        <f>VLOOKUP(C8,'Restaurant Details'!$A$1:$D$11,MATCH($E$1,'Restaurant Details'!$A$1:$D$1,0),FALSE)</f>
        <v>Street Food</v>
      </c>
      <c r="F8" t="s">
        <v>24</v>
      </c>
      <c r="G8" t="s">
        <v>64</v>
      </c>
      <c r="H8" t="s">
        <v>65</v>
      </c>
      <c r="I8">
        <v>36</v>
      </c>
      <c r="J8">
        <v>25</v>
      </c>
      <c r="K8" t="s">
        <v>250</v>
      </c>
      <c r="L8" t="s">
        <v>19</v>
      </c>
      <c r="M8" t="str">
        <f t="shared" si="0"/>
        <v>Tuesday</v>
      </c>
    </row>
    <row r="9" spans="1:13" x14ac:dyDescent="0.25">
      <c r="A9" t="s">
        <v>66</v>
      </c>
      <c r="B9" t="s">
        <v>67</v>
      </c>
      <c r="C9" t="s">
        <v>68</v>
      </c>
      <c r="D9" t="str">
        <f>VLOOKUP(C9,'Restaurant Details'!$A$1:$D$11,MATCH($D$1,'Restaurant Details'!$A$1:$D$1,0),FALSE)</f>
        <v>Cafe Aroma</v>
      </c>
      <c r="E9" t="str">
        <f>VLOOKUP(C9,'Restaurant Details'!$A$1:$D$11,MATCH($E$1,'Restaurant Details'!$A$1:$D$1,0),FALSE)</f>
        <v>Cafe</v>
      </c>
      <c r="F9" t="s">
        <v>32</v>
      </c>
      <c r="G9" t="s">
        <v>70</v>
      </c>
      <c r="H9" t="s">
        <v>71</v>
      </c>
      <c r="I9">
        <v>41</v>
      </c>
      <c r="J9">
        <v>30</v>
      </c>
      <c r="K9" t="s">
        <v>72</v>
      </c>
      <c r="L9" t="s">
        <v>27</v>
      </c>
      <c r="M9" t="str">
        <f t="shared" si="0"/>
        <v>Wednesday</v>
      </c>
    </row>
    <row r="10" spans="1:13" x14ac:dyDescent="0.25">
      <c r="A10" t="s">
        <v>73</v>
      </c>
      <c r="B10" t="s">
        <v>74</v>
      </c>
      <c r="C10" t="s">
        <v>75</v>
      </c>
      <c r="D10" t="str">
        <f>VLOOKUP(C10,'Restaurant Details'!$A$1:$D$11,MATCH($D$1,'Restaurant Details'!$A$1:$D$1,0),FALSE)</f>
        <v>Healthy Bites</v>
      </c>
      <c r="E10" t="str">
        <f>VLOOKUP(C10,'Restaurant Details'!$A$1:$D$11,MATCH($E$1,'Restaurant Details'!$A$1:$D$1,0),FALSE)</f>
        <v>Healthy Food</v>
      </c>
      <c r="F10" t="s">
        <v>40</v>
      </c>
      <c r="G10" t="s">
        <v>77</v>
      </c>
      <c r="H10" t="s">
        <v>78</v>
      </c>
      <c r="I10">
        <v>33</v>
      </c>
      <c r="J10">
        <v>35</v>
      </c>
      <c r="K10" t="s">
        <v>79</v>
      </c>
      <c r="L10" t="s">
        <v>19</v>
      </c>
      <c r="M10" t="str">
        <f t="shared" si="0"/>
        <v>Thursday</v>
      </c>
    </row>
    <row r="11" spans="1:13" x14ac:dyDescent="0.25">
      <c r="A11" t="s">
        <v>80</v>
      </c>
      <c r="B11" t="s">
        <v>81</v>
      </c>
      <c r="C11" t="s">
        <v>82</v>
      </c>
      <c r="D11" t="str">
        <f>VLOOKUP(C11,'Restaurant Details'!$A$1:$D$11,MATCH($D$1,'Restaurant Details'!$A$1:$D$1,0),FALSE)</f>
        <v>Royal Thali</v>
      </c>
      <c r="E11" t="str">
        <f>VLOOKUP(C11,'Restaurant Details'!$A$1:$D$11,MATCH($E$1,'Restaurant Details'!$A$1:$D$1,0),FALSE)</f>
        <v>Indian</v>
      </c>
      <c r="F11" t="s">
        <v>49</v>
      </c>
      <c r="G11" t="s">
        <v>84</v>
      </c>
      <c r="H11" t="s">
        <v>85</v>
      </c>
      <c r="I11">
        <v>50</v>
      </c>
      <c r="J11">
        <v>45</v>
      </c>
      <c r="K11" t="s">
        <v>86</v>
      </c>
      <c r="L11" t="s">
        <v>44</v>
      </c>
      <c r="M11" t="str">
        <f t="shared" si="0"/>
        <v>Friday</v>
      </c>
    </row>
    <row r="12" spans="1:13" x14ac:dyDescent="0.25">
      <c r="A12" t="s">
        <v>87</v>
      </c>
      <c r="B12" t="s">
        <v>88</v>
      </c>
      <c r="C12" t="s">
        <v>75</v>
      </c>
      <c r="D12" t="str">
        <f>VLOOKUP(C12,'Restaurant Details'!$A$1:$D$11,MATCH($D$1,'Restaurant Details'!$A$1:$D$1,0),FALSE)</f>
        <v>Healthy Bites</v>
      </c>
      <c r="E12" t="str">
        <f>VLOOKUP(C12,'Restaurant Details'!$A$1:$D$11,MATCH($E$1,'Restaurant Details'!$A$1:$D$1,0),FALSE)</f>
        <v>Healthy Food</v>
      </c>
      <c r="F12" t="s">
        <v>15</v>
      </c>
      <c r="G12" t="s">
        <v>89</v>
      </c>
      <c r="H12" t="s">
        <v>90</v>
      </c>
      <c r="I12">
        <v>31</v>
      </c>
      <c r="J12">
        <v>30</v>
      </c>
      <c r="K12" t="s">
        <v>35</v>
      </c>
      <c r="L12" t="s">
        <v>19</v>
      </c>
      <c r="M12" t="str">
        <f t="shared" si="0"/>
        <v>Saturday</v>
      </c>
    </row>
    <row r="13" spans="1:13" x14ac:dyDescent="0.25">
      <c r="A13" t="s">
        <v>91</v>
      </c>
      <c r="B13" t="s">
        <v>92</v>
      </c>
      <c r="C13" t="s">
        <v>75</v>
      </c>
      <c r="D13" t="str">
        <f>VLOOKUP(C13,'Restaurant Details'!$A$1:$D$11,MATCH($D$1,'Restaurant Details'!$A$1:$D$1,0),FALSE)</f>
        <v>Healthy Bites</v>
      </c>
      <c r="E13" t="str">
        <f>VLOOKUP(C13,'Restaurant Details'!$A$1:$D$11,MATCH($E$1,'Restaurant Details'!$A$1:$D$1,0),FALSE)</f>
        <v>Healthy Food</v>
      </c>
      <c r="F13" t="s">
        <v>24</v>
      </c>
      <c r="G13" t="s">
        <v>93</v>
      </c>
      <c r="H13" t="s">
        <v>94</v>
      </c>
      <c r="I13">
        <v>47</v>
      </c>
      <c r="J13">
        <v>40</v>
      </c>
      <c r="K13" t="s">
        <v>250</v>
      </c>
      <c r="L13" t="s">
        <v>27</v>
      </c>
      <c r="M13" t="str">
        <f t="shared" si="0"/>
        <v>Sunday</v>
      </c>
    </row>
    <row r="14" spans="1:13" x14ac:dyDescent="0.25">
      <c r="A14" t="s">
        <v>95</v>
      </c>
      <c r="B14" t="s">
        <v>96</v>
      </c>
      <c r="C14" t="s">
        <v>75</v>
      </c>
      <c r="D14" t="str">
        <f>VLOOKUP(C14,'Restaurant Details'!$A$1:$D$11,MATCH($D$1,'Restaurant Details'!$A$1:$D$1,0),FALSE)</f>
        <v>Healthy Bites</v>
      </c>
      <c r="E14" t="str">
        <f>VLOOKUP(C14,'Restaurant Details'!$A$1:$D$11,MATCH($E$1,'Restaurant Details'!$A$1:$D$1,0),FALSE)</f>
        <v>Healthy Food</v>
      </c>
      <c r="F14" t="s">
        <v>32</v>
      </c>
      <c r="G14" t="s">
        <v>97</v>
      </c>
      <c r="H14" t="s">
        <v>98</v>
      </c>
      <c r="I14">
        <v>39</v>
      </c>
      <c r="J14">
        <v>25</v>
      </c>
      <c r="K14" t="s">
        <v>43</v>
      </c>
      <c r="L14" t="s">
        <v>19</v>
      </c>
      <c r="M14" t="str">
        <f t="shared" si="0"/>
        <v>Monday</v>
      </c>
    </row>
    <row r="15" spans="1:13" x14ac:dyDescent="0.25">
      <c r="A15" t="s">
        <v>99</v>
      </c>
      <c r="B15" t="s">
        <v>100</v>
      </c>
      <c r="C15" t="s">
        <v>38</v>
      </c>
      <c r="D15" t="str">
        <f>VLOOKUP(C15,'Restaurant Details'!$A$1:$D$11,MATCH($D$1,'Restaurant Details'!$A$1:$D$1,0),FALSE)</f>
        <v>South Treat</v>
      </c>
      <c r="E15" t="str">
        <f>VLOOKUP(C15,'Restaurant Details'!$A$1:$D$11,MATCH($E$1,'Restaurant Details'!$A$1:$D$1,0),FALSE)</f>
        <v>South Indian</v>
      </c>
      <c r="F15" t="s">
        <v>40</v>
      </c>
      <c r="G15" t="s">
        <v>101</v>
      </c>
      <c r="H15" t="s">
        <v>102</v>
      </c>
      <c r="I15">
        <v>44</v>
      </c>
      <c r="J15">
        <v>35</v>
      </c>
      <c r="K15" t="s">
        <v>52</v>
      </c>
      <c r="L15" t="s">
        <v>44</v>
      </c>
      <c r="M15" t="str">
        <f t="shared" si="0"/>
        <v>Tuesday</v>
      </c>
    </row>
    <row r="16" spans="1:13" x14ac:dyDescent="0.25">
      <c r="A16" t="s">
        <v>103</v>
      </c>
      <c r="B16" t="s">
        <v>104</v>
      </c>
      <c r="C16" t="s">
        <v>38</v>
      </c>
      <c r="D16" t="str">
        <f>VLOOKUP(C16,'Restaurant Details'!$A$1:$D$11,MATCH($D$1,'Restaurant Details'!$A$1:$D$1,0),FALSE)</f>
        <v>South Treat</v>
      </c>
      <c r="E16" t="str">
        <f>VLOOKUP(C16,'Restaurant Details'!$A$1:$D$11,MATCH($E$1,'Restaurant Details'!$A$1:$D$1,0),FALSE)</f>
        <v>South Indian</v>
      </c>
      <c r="F16" t="s">
        <v>49</v>
      </c>
      <c r="G16" t="s">
        <v>105</v>
      </c>
      <c r="H16" t="s">
        <v>106</v>
      </c>
      <c r="I16">
        <v>37</v>
      </c>
      <c r="J16">
        <v>30</v>
      </c>
      <c r="K16" t="s">
        <v>59</v>
      </c>
      <c r="L16" t="s">
        <v>19</v>
      </c>
      <c r="M16" t="str">
        <f t="shared" si="0"/>
        <v>Wednesday</v>
      </c>
    </row>
    <row r="17" spans="1:13" x14ac:dyDescent="0.25">
      <c r="A17" t="s">
        <v>107</v>
      </c>
      <c r="B17" t="s">
        <v>108</v>
      </c>
      <c r="C17" t="s">
        <v>38</v>
      </c>
      <c r="D17" t="str">
        <f>VLOOKUP(C17,'Restaurant Details'!$A$1:$D$11,MATCH($D$1,'Restaurant Details'!$A$1:$D$1,0),FALSE)</f>
        <v>South Treat</v>
      </c>
      <c r="E17" t="str">
        <f>VLOOKUP(C17,'Restaurant Details'!$A$1:$D$11,MATCH($E$1,'Restaurant Details'!$A$1:$D$1,0),FALSE)</f>
        <v>South Indian</v>
      </c>
      <c r="F17" t="s">
        <v>15</v>
      </c>
      <c r="G17" t="s">
        <v>109</v>
      </c>
      <c r="H17" t="s">
        <v>110</v>
      </c>
      <c r="I17">
        <v>29</v>
      </c>
      <c r="J17">
        <v>20</v>
      </c>
      <c r="K17" t="s">
        <v>72</v>
      </c>
      <c r="L17" t="s">
        <v>27</v>
      </c>
      <c r="M17" t="str">
        <f t="shared" si="0"/>
        <v>Thursday</v>
      </c>
    </row>
    <row r="18" spans="1:13" x14ac:dyDescent="0.25">
      <c r="A18" t="s">
        <v>111</v>
      </c>
      <c r="B18" t="s">
        <v>112</v>
      </c>
      <c r="C18" t="s">
        <v>38</v>
      </c>
      <c r="D18" t="str">
        <f>VLOOKUP(C18,'Restaurant Details'!$A$1:$D$11,MATCH($D$1,'Restaurant Details'!$A$1:$D$1,0),FALSE)</f>
        <v>South Treat</v>
      </c>
      <c r="E18" t="str">
        <f>VLOOKUP(C18,'Restaurant Details'!$A$1:$D$11,MATCH($E$1,'Restaurant Details'!$A$1:$D$1,0),FALSE)</f>
        <v>South Indian</v>
      </c>
      <c r="F18" t="s">
        <v>24</v>
      </c>
      <c r="G18" t="s">
        <v>113</v>
      </c>
      <c r="H18" t="s">
        <v>114</v>
      </c>
      <c r="I18">
        <v>43</v>
      </c>
      <c r="J18">
        <v>25</v>
      </c>
      <c r="K18" t="s">
        <v>250</v>
      </c>
      <c r="L18" t="s">
        <v>19</v>
      </c>
      <c r="M18" t="str">
        <f t="shared" si="0"/>
        <v>Friday</v>
      </c>
    </row>
    <row r="19" spans="1:13" x14ac:dyDescent="0.25">
      <c r="A19" t="s">
        <v>115</v>
      </c>
      <c r="B19" t="s">
        <v>116</v>
      </c>
      <c r="C19" t="s">
        <v>68</v>
      </c>
      <c r="D19" t="str">
        <f>VLOOKUP(C19,'Restaurant Details'!$A$1:$D$11,MATCH($D$1,'Restaurant Details'!$A$1:$D$1,0),FALSE)</f>
        <v>Cafe Aroma</v>
      </c>
      <c r="E19" t="str">
        <f>VLOOKUP(C19,'Restaurant Details'!$A$1:$D$11,MATCH($E$1,'Restaurant Details'!$A$1:$D$1,0),FALSE)</f>
        <v>Cafe</v>
      </c>
      <c r="F19" t="s">
        <v>32</v>
      </c>
      <c r="G19" t="s">
        <v>117</v>
      </c>
      <c r="H19" t="s">
        <v>118</v>
      </c>
      <c r="I19">
        <v>34</v>
      </c>
      <c r="J19">
        <v>30</v>
      </c>
      <c r="K19" t="s">
        <v>79</v>
      </c>
      <c r="L19" t="s">
        <v>27</v>
      </c>
      <c r="M19" t="str">
        <f t="shared" si="0"/>
        <v>Saturday</v>
      </c>
    </row>
    <row r="20" spans="1:13" x14ac:dyDescent="0.25">
      <c r="A20" t="s">
        <v>119</v>
      </c>
      <c r="B20" t="s">
        <v>120</v>
      </c>
      <c r="C20" t="s">
        <v>75</v>
      </c>
      <c r="D20" t="str">
        <f>VLOOKUP(C20,'Restaurant Details'!$A$1:$D$11,MATCH($D$1,'Restaurant Details'!$A$1:$D$1,0),FALSE)</f>
        <v>Healthy Bites</v>
      </c>
      <c r="E20" t="str">
        <f>VLOOKUP(C20,'Restaurant Details'!$A$1:$D$11,MATCH($E$1,'Restaurant Details'!$A$1:$D$1,0),FALSE)</f>
        <v>Healthy Food</v>
      </c>
      <c r="F20" t="s">
        <v>40</v>
      </c>
      <c r="G20" t="s">
        <v>121</v>
      </c>
      <c r="H20" t="s">
        <v>122</v>
      </c>
      <c r="I20">
        <v>48</v>
      </c>
      <c r="J20">
        <v>35</v>
      </c>
      <c r="K20" t="s">
        <v>86</v>
      </c>
      <c r="L20" t="s">
        <v>19</v>
      </c>
      <c r="M20" t="str">
        <f t="shared" si="0"/>
        <v>Sunday</v>
      </c>
    </row>
    <row r="21" spans="1:13" x14ac:dyDescent="0.25">
      <c r="A21" t="s">
        <v>123</v>
      </c>
      <c r="B21" t="s">
        <v>124</v>
      </c>
      <c r="C21" t="s">
        <v>82</v>
      </c>
      <c r="D21" t="str">
        <f>VLOOKUP(C21,'Restaurant Details'!$A$1:$D$11,MATCH($D$1,'Restaurant Details'!$A$1:$D$1,0),FALSE)</f>
        <v>Royal Thali</v>
      </c>
      <c r="E21" t="str">
        <f>VLOOKUP(C21,'Restaurant Details'!$A$1:$D$11,MATCH($E$1,'Restaurant Details'!$A$1:$D$1,0),FALSE)</f>
        <v>Indian</v>
      </c>
      <c r="F21" t="s">
        <v>49</v>
      </c>
      <c r="G21" t="s">
        <v>125</v>
      </c>
      <c r="H21" t="s">
        <v>126</v>
      </c>
      <c r="I21">
        <v>40</v>
      </c>
      <c r="J21">
        <v>45</v>
      </c>
      <c r="K21" t="s">
        <v>35</v>
      </c>
      <c r="L21" t="s">
        <v>44</v>
      </c>
      <c r="M21" t="str">
        <f t="shared" si="0"/>
        <v>Monday</v>
      </c>
    </row>
    <row r="22" spans="1:13" x14ac:dyDescent="0.25">
      <c r="A22" t="s">
        <v>127</v>
      </c>
      <c r="B22" t="s">
        <v>128</v>
      </c>
      <c r="C22" t="s">
        <v>13</v>
      </c>
      <c r="D22" t="str">
        <f>VLOOKUP(C22,'Restaurant Details'!$A$1:$D$11,MATCH($D$1,'Restaurant Details'!$A$1:$D$1,0),FALSE)</f>
        <v>Spice Hub</v>
      </c>
      <c r="E22" t="str">
        <f>VLOOKUP(C22,'Restaurant Details'!$A$1:$D$11,MATCH($E$1,'Restaurant Details'!$A$1:$D$1,0),FALSE)</f>
        <v>Indian</v>
      </c>
      <c r="F22" t="s">
        <v>15</v>
      </c>
      <c r="G22" t="s">
        <v>129</v>
      </c>
      <c r="H22" t="s">
        <v>130</v>
      </c>
      <c r="I22">
        <v>36</v>
      </c>
      <c r="J22">
        <v>30</v>
      </c>
      <c r="K22" t="s">
        <v>43</v>
      </c>
      <c r="L22" t="s">
        <v>19</v>
      </c>
      <c r="M22" t="str">
        <f t="shared" si="0"/>
        <v>Tuesday</v>
      </c>
    </row>
    <row r="23" spans="1:13" x14ac:dyDescent="0.25">
      <c r="A23" t="s">
        <v>131</v>
      </c>
      <c r="B23" t="s">
        <v>132</v>
      </c>
      <c r="C23" t="s">
        <v>22</v>
      </c>
      <c r="D23" t="str">
        <f>VLOOKUP(C23,'Restaurant Details'!$A$1:$D$11,MATCH($D$1,'Restaurant Details'!$A$1:$D$1,0),FALSE)</f>
        <v>Biryani House</v>
      </c>
      <c r="E23" t="str">
        <f>VLOOKUP(C23,'Restaurant Details'!$A$1:$D$11,MATCH($E$1,'Restaurant Details'!$A$1:$D$1,0),FALSE)</f>
        <v>Biryani</v>
      </c>
      <c r="F23" t="s">
        <v>24</v>
      </c>
      <c r="G23" t="s">
        <v>133</v>
      </c>
      <c r="H23" t="s">
        <v>134</v>
      </c>
      <c r="I23">
        <v>52</v>
      </c>
      <c r="J23">
        <v>40</v>
      </c>
      <c r="K23" t="s">
        <v>52</v>
      </c>
      <c r="L23" t="s">
        <v>27</v>
      </c>
      <c r="M23" t="str">
        <f t="shared" si="0"/>
        <v>Wednesday</v>
      </c>
    </row>
    <row r="24" spans="1:13" x14ac:dyDescent="0.25">
      <c r="A24" t="s">
        <v>135</v>
      </c>
      <c r="B24" t="s">
        <v>136</v>
      </c>
      <c r="C24" t="s">
        <v>30</v>
      </c>
      <c r="D24" t="str">
        <f>VLOOKUP(C24,'Restaurant Details'!$A$1:$D$11,MATCH($D$1,'Restaurant Details'!$A$1:$D$1,0),FALSE)</f>
        <v>Pizza Corner</v>
      </c>
      <c r="E24" t="str">
        <f>VLOOKUP(C24,'Restaurant Details'!$A$1:$D$11,MATCH($E$1,'Restaurant Details'!$A$1:$D$1,0),FALSE)</f>
        <v>Pizza</v>
      </c>
      <c r="F24" t="s">
        <v>32</v>
      </c>
      <c r="G24" t="s">
        <v>137</v>
      </c>
      <c r="H24" t="s">
        <v>138</v>
      </c>
      <c r="I24">
        <v>30</v>
      </c>
      <c r="J24">
        <v>25</v>
      </c>
      <c r="K24" t="s">
        <v>59</v>
      </c>
      <c r="L24" t="s">
        <v>19</v>
      </c>
      <c r="M24" t="str">
        <f t="shared" si="0"/>
        <v>Thursday</v>
      </c>
    </row>
    <row r="25" spans="1:13" x14ac:dyDescent="0.25">
      <c r="A25" t="s">
        <v>139</v>
      </c>
      <c r="B25" t="s">
        <v>140</v>
      </c>
      <c r="C25" t="s">
        <v>38</v>
      </c>
      <c r="D25" t="str">
        <f>VLOOKUP(C25,'Restaurant Details'!$A$1:$D$11,MATCH($D$1,'Restaurant Details'!$A$1:$D$1,0),FALSE)</f>
        <v>South Treat</v>
      </c>
      <c r="E25" t="str">
        <f>VLOOKUP(C25,'Restaurant Details'!$A$1:$D$11,MATCH($E$1,'Restaurant Details'!$A$1:$D$1,0),FALSE)</f>
        <v>South Indian</v>
      </c>
      <c r="F25" t="s">
        <v>40</v>
      </c>
      <c r="G25" t="s">
        <v>141</v>
      </c>
      <c r="H25" t="s">
        <v>142</v>
      </c>
      <c r="I25">
        <v>46</v>
      </c>
      <c r="J25">
        <v>35</v>
      </c>
      <c r="K25" t="s">
        <v>72</v>
      </c>
      <c r="L25" t="s">
        <v>44</v>
      </c>
      <c r="M25" t="str">
        <f t="shared" si="0"/>
        <v>Friday</v>
      </c>
    </row>
    <row r="26" spans="1:13" x14ac:dyDescent="0.25">
      <c r="A26" t="s">
        <v>143</v>
      </c>
      <c r="B26" t="s">
        <v>144</v>
      </c>
      <c r="C26" t="s">
        <v>47</v>
      </c>
      <c r="D26" t="str">
        <f>VLOOKUP(C26,'Restaurant Details'!$A$1:$D$11,MATCH($D$1,'Restaurant Details'!$A$1:$D$1,0),FALSE)</f>
        <v>Tandoori Tales</v>
      </c>
      <c r="E26" t="str">
        <f>VLOOKUP(C26,'Restaurant Details'!$A$1:$D$11,MATCH($E$1,'Restaurant Details'!$A$1:$D$1,0),FALSE)</f>
        <v>North Indian</v>
      </c>
      <c r="F26" t="s">
        <v>49</v>
      </c>
      <c r="G26" t="s">
        <v>145</v>
      </c>
      <c r="H26" t="s">
        <v>146</v>
      </c>
      <c r="I26">
        <v>35</v>
      </c>
      <c r="J26">
        <v>30</v>
      </c>
      <c r="K26" t="s">
        <v>250</v>
      </c>
      <c r="L26" t="s">
        <v>19</v>
      </c>
      <c r="M26" t="str">
        <f t="shared" si="0"/>
        <v>Saturday</v>
      </c>
    </row>
    <row r="27" spans="1:13" x14ac:dyDescent="0.25">
      <c r="A27" t="s">
        <v>147</v>
      </c>
      <c r="B27" t="s">
        <v>148</v>
      </c>
      <c r="C27" t="s">
        <v>55</v>
      </c>
      <c r="D27" t="str">
        <f>VLOOKUP(C27,'Restaurant Details'!$A$1:$D$11,MATCH($D$1,'Restaurant Details'!$A$1:$D$1,0),FALSE)</f>
        <v>Burger Point</v>
      </c>
      <c r="E27" t="str">
        <f>VLOOKUP(C27,'Restaurant Details'!$A$1:$D$11,MATCH($E$1,'Restaurant Details'!$A$1:$D$1,0),FALSE)</f>
        <v>Fast Food</v>
      </c>
      <c r="F27" t="s">
        <v>15</v>
      </c>
      <c r="G27" t="s">
        <v>149</v>
      </c>
      <c r="H27" t="s">
        <v>150</v>
      </c>
      <c r="I27">
        <v>27</v>
      </c>
      <c r="J27">
        <v>20</v>
      </c>
      <c r="K27" t="s">
        <v>79</v>
      </c>
      <c r="L27" t="s">
        <v>27</v>
      </c>
      <c r="M27" t="str">
        <f t="shared" si="0"/>
        <v>Sunday</v>
      </c>
    </row>
    <row r="28" spans="1:13" x14ac:dyDescent="0.25">
      <c r="A28" t="s">
        <v>151</v>
      </c>
      <c r="B28" t="s">
        <v>152</v>
      </c>
      <c r="C28" t="s">
        <v>62</v>
      </c>
      <c r="D28" t="str">
        <f>VLOOKUP(C28,'Restaurant Details'!$A$1:$D$11,MATCH($D$1,'Restaurant Details'!$A$1:$D$1,0),FALSE)</f>
        <v>Chaat Junction</v>
      </c>
      <c r="E28" t="str">
        <f>VLOOKUP(C28,'Restaurant Details'!$A$1:$D$11,MATCH($E$1,'Restaurant Details'!$A$1:$D$1,0),FALSE)</f>
        <v>Street Food</v>
      </c>
      <c r="F28" t="s">
        <v>24</v>
      </c>
      <c r="G28" t="s">
        <v>153</v>
      </c>
      <c r="H28" t="s">
        <v>154</v>
      </c>
      <c r="I28">
        <v>49</v>
      </c>
      <c r="J28">
        <v>25</v>
      </c>
      <c r="K28" t="s">
        <v>86</v>
      </c>
      <c r="L28" t="s">
        <v>19</v>
      </c>
      <c r="M28" t="str">
        <f t="shared" si="0"/>
        <v>Monday</v>
      </c>
    </row>
    <row r="29" spans="1:13" x14ac:dyDescent="0.25">
      <c r="A29" t="s">
        <v>155</v>
      </c>
      <c r="B29" t="s">
        <v>156</v>
      </c>
      <c r="C29" t="s">
        <v>68</v>
      </c>
      <c r="D29" t="str">
        <f>VLOOKUP(C29,'Restaurant Details'!$A$1:$D$11,MATCH($D$1,'Restaurant Details'!$A$1:$D$1,0),FALSE)</f>
        <v>Cafe Aroma</v>
      </c>
      <c r="E29" t="str">
        <f>VLOOKUP(C29,'Restaurant Details'!$A$1:$D$11,MATCH($E$1,'Restaurant Details'!$A$1:$D$1,0),FALSE)</f>
        <v>Cafe</v>
      </c>
      <c r="F29" t="s">
        <v>32</v>
      </c>
      <c r="G29" t="s">
        <v>157</v>
      </c>
      <c r="H29" t="s">
        <v>158</v>
      </c>
      <c r="I29">
        <v>37</v>
      </c>
      <c r="J29">
        <v>30</v>
      </c>
      <c r="K29" t="s">
        <v>35</v>
      </c>
      <c r="L29" t="s">
        <v>27</v>
      </c>
      <c r="M29" t="str">
        <f t="shared" si="0"/>
        <v>Tuesday</v>
      </c>
    </row>
    <row r="30" spans="1:13" x14ac:dyDescent="0.25">
      <c r="A30" t="s">
        <v>159</v>
      </c>
      <c r="B30" t="s">
        <v>160</v>
      </c>
      <c r="C30" t="s">
        <v>75</v>
      </c>
      <c r="D30" t="str">
        <f>VLOOKUP(C30,'Restaurant Details'!$A$1:$D$11,MATCH($D$1,'Restaurant Details'!$A$1:$D$1,0),FALSE)</f>
        <v>Healthy Bites</v>
      </c>
      <c r="E30" t="str">
        <f>VLOOKUP(C30,'Restaurant Details'!$A$1:$D$11,MATCH($E$1,'Restaurant Details'!$A$1:$D$1,0),FALSE)</f>
        <v>Healthy Food</v>
      </c>
      <c r="F30" t="s">
        <v>40</v>
      </c>
      <c r="G30" t="s">
        <v>161</v>
      </c>
      <c r="H30" t="s">
        <v>162</v>
      </c>
      <c r="I30">
        <v>42</v>
      </c>
      <c r="J30">
        <v>35</v>
      </c>
      <c r="K30" t="s">
        <v>43</v>
      </c>
      <c r="L30" t="s">
        <v>19</v>
      </c>
      <c r="M30" t="str">
        <f t="shared" si="0"/>
        <v>Wednesday</v>
      </c>
    </row>
    <row r="31" spans="1:13" x14ac:dyDescent="0.25">
      <c r="A31" t="s">
        <v>163</v>
      </c>
      <c r="B31" t="s">
        <v>164</v>
      </c>
      <c r="C31" t="s">
        <v>82</v>
      </c>
      <c r="D31" t="str">
        <f>VLOOKUP(C31,'Restaurant Details'!$A$1:$D$11,MATCH($D$1,'Restaurant Details'!$A$1:$D$1,0),FALSE)</f>
        <v>Royal Thali</v>
      </c>
      <c r="E31" t="str">
        <f>VLOOKUP(C31,'Restaurant Details'!$A$1:$D$11,MATCH($E$1,'Restaurant Details'!$A$1:$D$1,0),FALSE)</f>
        <v>Indian</v>
      </c>
      <c r="F31" t="s">
        <v>49</v>
      </c>
      <c r="G31" t="s">
        <v>165</v>
      </c>
      <c r="H31" t="s">
        <v>166</v>
      </c>
      <c r="I31">
        <v>55</v>
      </c>
      <c r="J31">
        <v>45</v>
      </c>
      <c r="K31" t="s">
        <v>52</v>
      </c>
      <c r="L31" t="s">
        <v>44</v>
      </c>
      <c r="M31" t="str">
        <f t="shared" si="0"/>
        <v>Thursday</v>
      </c>
    </row>
    <row r="32" spans="1:13" x14ac:dyDescent="0.25">
      <c r="A32" t="s">
        <v>167</v>
      </c>
      <c r="B32" t="s">
        <v>168</v>
      </c>
      <c r="C32" t="s">
        <v>13</v>
      </c>
      <c r="D32" t="str">
        <f>VLOOKUP(C32,'Restaurant Details'!$A$1:$D$11,MATCH($D$1,'Restaurant Details'!$A$1:$D$1,0),FALSE)</f>
        <v>Spice Hub</v>
      </c>
      <c r="E32" t="str">
        <f>VLOOKUP(C32,'Restaurant Details'!$A$1:$D$11,MATCH($E$1,'Restaurant Details'!$A$1:$D$1,0),FALSE)</f>
        <v>Indian</v>
      </c>
      <c r="F32" t="s">
        <v>15</v>
      </c>
      <c r="G32" t="s">
        <v>169</v>
      </c>
      <c r="H32" t="s">
        <v>170</v>
      </c>
      <c r="I32">
        <v>33</v>
      </c>
      <c r="J32">
        <v>30</v>
      </c>
      <c r="K32" t="s">
        <v>59</v>
      </c>
      <c r="L32" t="s">
        <v>19</v>
      </c>
      <c r="M32" t="str">
        <f t="shared" si="0"/>
        <v>Friday</v>
      </c>
    </row>
    <row r="33" spans="1:13" x14ac:dyDescent="0.25">
      <c r="A33" t="s">
        <v>171</v>
      </c>
      <c r="B33" t="s">
        <v>172</v>
      </c>
      <c r="C33" t="s">
        <v>22</v>
      </c>
      <c r="D33" t="str">
        <f>VLOOKUP(C33,'Restaurant Details'!$A$1:$D$11,MATCH($D$1,'Restaurant Details'!$A$1:$D$1,0),FALSE)</f>
        <v>Biryani House</v>
      </c>
      <c r="E33" t="str">
        <f>VLOOKUP(C33,'Restaurant Details'!$A$1:$D$11,MATCH($E$1,'Restaurant Details'!$A$1:$D$1,0),FALSE)</f>
        <v>Biryani</v>
      </c>
      <c r="F33" t="s">
        <v>24</v>
      </c>
      <c r="G33" t="s">
        <v>173</v>
      </c>
      <c r="H33" t="s">
        <v>174</v>
      </c>
      <c r="I33">
        <v>45</v>
      </c>
      <c r="J33">
        <v>40</v>
      </c>
      <c r="K33" t="s">
        <v>250</v>
      </c>
      <c r="L33" t="s">
        <v>27</v>
      </c>
      <c r="M33" t="str">
        <f t="shared" si="0"/>
        <v>Saturday</v>
      </c>
    </row>
    <row r="34" spans="1:13" x14ac:dyDescent="0.25">
      <c r="A34" t="s">
        <v>175</v>
      </c>
      <c r="B34" t="s">
        <v>176</v>
      </c>
      <c r="C34" t="s">
        <v>30</v>
      </c>
      <c r="D34" t="str">
        <f>VLOOKUP(C34,'Restaurant Details'!$A$1:$D$11,MATCH($D$1,'Restaurant Details'!$A$1:$D$1,0),FALSE)</f>
        <v>Pizza Corner</v>
      </c>
      <c r="E34" t="str">
        <f>VLOOKUP(C34,'Restaurant Details'!$A$1:$D$11,MATCH($E$1,'Restaurant Details'!$A$1:$D$1,0),FALSE)</f>
        <v>Pizza</v>
      </c>
      <c r="F34" t="s">
        <v>32</v>
      </c>
      <c r="G34" t="s">
        <v>177</v>
      </c>
      <c r="H34" t="s">
        <v>178</v>
      </c>
      <c r="I34">
        <v>41</v>
      </c>
      <c r="J34">
        <v>25</v>
      </c>
      <c r="K34" t="s">
        <v>72</v>
      </c>
      <c r="L34" t="s">
        <v>19</v>
      </c>
      <c r="M34" t="str">
        <f t="shared" si="0"/>
        <v>Sunday</v>
      </c>
    </row>
    <row r="35" spans="1:13" x14ac:dyDescent="0.25">
      <c r="A35" t="s">
        <v>179</v>
      </c>
      <c r="B35" t="s">
        <v>180</v>
      </c>
      <c r="C35" t="s">
        <v>38</v>
      </c>
      <c r="D35" t="str">
        <f>VLOOKUP(C35,'Restaurant Details'!$A$1:$D$11,MATCH($D$1,'Restaurant Details'!$A$1:$D$1,0),FALSE)</f>
        <v>South Treat</v>
      </c>
      <c r="E35" t="str">
        <f>VLOOKUP(C35,'Restaurant Details'!$A$1:$D$11,MATCH($E$1,'Restaurant Details'!$A$1:$D$1,0),FALSE)</f>
        <v>South Indian</v>
      </c>
      <c r="F35" t="s">
        <v>40</v>
      </c>
      <c r="G35" t="s">
        <v>181</v>
      </c>
      <c r="H35" t="s">
        <v>182</v>
      </c>
      <c r="I35">
        <v>39</v>
      </c>
      <c r="J35">
        <v>35</v>
      </c>
      <c r="K35" t="s">
        <v>79</v>
      </c>
      <c r="L35" t="s">
        <v>44</v>
      </c>
      <c r="M35" t="str">
        <f t="shared" si="0"/>
        <v>Monday</v>
      </c>
    </row>
    <row r="36" spans="1:13" x14ac:dyDescent="0.25">
      <c r="A36" t="s">
        <v>183</v>
      </c>
      <c r="B36" t="s">
        <v>184</v>
      </c>
      <c r="C36" t="s">
        <v>47</v>
      </c>
      <c r="D36" t="str">
        <f>VLOOKUP(C36,'Restaurant Details'!$A$1:$D$11,MATCH($D$1,'Restaurant Details'!$A$1:$D$1,0),FALSE)</f>
        <v>Tandoori Tales</v>
      </c>
      <c r="E36" t="str">
        <f>VLOOKUP(C36,'Restaurant Details'!$A$1:$D$11,MATCH($E$1,'Restaurant Details'!$A$1:$D$1,0),FALSE)</f>
        <v>North Indian</v>
      </c>
      <c r="F36" t="s">
        <v>49</v>
      </c>
      <c r="G36" t="s">
        <v>185</v>
      </c>
      <c r="H36" t="s">
        <v>186</v>
      </c>
      <c r="I36">
        <v>51</v>
      </c>
      <c r="J36">
        <v>30</v>
      </c>
      <c r="K36" t="s">
        <v>86</v>
      </c>
      <c r="L36" t="s">
        <v>19</v>
      </c>
      <c r="M36" t="str">
        <f t="shared" si="0"/>
        <v>Tuesday</v>
      </c>
    </row>
    <row r="37" spans="1:13" x14ac:dyDescent="0.25">
      <c r="A37" t="s">
        <v>187</v>
      </c>
      <c r="B37" t="s">
        <v>188</v>
      </c>
      <c r="C37" t="s">
        <v>55</v>
      </c>
      <c r="D37" t="str">
        <f>VLOOKUP(C37,'Restaurant Details'!$A$1:$D$11,MATCH($D$1,'Restaurant Details'!$A$1:$D$1,0),FALSE)</f>
        <v>Burger Point</v>
      </c>
      <c r="E37" t="str">
        <f>VLOOKUP(C37,'Restaurant Details'!$A$1:$D$11,MATCH($E$1,'Restaurant Details'!$A$1:$D$1,0),FALSE)</f>
        <v>Fast Food</v>
      </c>
      <c r="F37" t="s">
        <v>15</v>
      </c>
      <c r="G37" t="s">
        <v>189</v>
      </c>
      <c r="H37" t="s">
        <v>190</v>
      </c>
      <c r="I37">
        <v>30</v>
      </c>
      <c r="J37">
        <v>20</v>
      </c>
      <c r="K37" t="s">
        <v>35</v>
      </c>
      <c r="L37" t="s">
        <v>27</v>
      </c>
      <c r="M37" t="str">
        <f t="shared" si="0"/>
        <v>Wednesday</v>
      </c>
    </row>
    <row r="38" spans="1:13" x14ac:dyDescent="0.25">
      <c r="A38" t="s">
        <v>191</v>
      </c>
      <c r="B38" t="s">
        <v>192</v>
      </c>
      <c r="C38" t="s">
        <v>62</v>
      </c>
      <c r="D38" t="str">
        <f>VLOOKUP(C38,'Restaurant Details'!$A$1:$D$11,MATCH($D$1,'Restaurant Details'!$A$1:$D$1,0),FALSE)</f>
        <v>Chaat Junction</v>
      </c>
      <c r="E38" t="str">
        <f>VLOOKUP(C38,'Restaurant Details'!$A$1:$D$11,MATCH($E$1,'Restaurant Details'!$A$1:$D$1,0),FALSE)</f>
        <v>Street Food</v>
      </c>
      <c r="F38" t="s">
        <v>24</v>
      </c>
      <c r="G38" t="s">
        <v>193</v>
      </c>
      <c r="H38" t="s">
        <v>194</v>
      </c>
      <c r="I38">
        <v>44</v>
      </c>
      <c r="J38">
        <v>25</v>
      </c>
      <c r="K38" t="s">
        <v>250</v>
      </c>
      <c r="L38" t="s">
        <v>19</v>
      </c>
      <c r="M38" t="str">
        <f t="shared" si="0"/>
        <v>Thursday</v>
      </c>
    </row>
    <row r="39" spans="1:13" x14ac:dyDescent="0.25">
      <c r="A39" t="s">
        <v>195</v>
      </c>
      <c r="B39" t="s">
        <v>196</v>
      </c>
      <c r="C39" t="s">
        <v>68</v>
      </c>
      <c r="D39" t="str">
        <f>VLOOKUP(C39,'Restaurant Details'!$A$1:$D$11,MATCH($D$1,'Restaurant Details'!$A$1:$D$1,0),FALSE)</f>
        <v>Cafe Aroma</v>
      </c>
      <c r="E39" t="str">
        <f>VLOOKUP(C39,'Restaurant Details'!$A$1:$D$11,MATCH($E$1,'Restaurant Details'!$A$1:$D$1,0),FALSE)</f>
        <v>Cafe</v>
      </c>
      <c r="F39" t="s">
        <v>32</v>
      </c>
      <c r="G39" t="s">
        <v>197</v>
      </c>
      <c r="H39" t="s">
        <v>198</v>
      </c>
      <c r="I39">
        <v>35</v>
      </c>
      <c r="J39">
        <v>30</v>
      </c>
      <c r="K39" t="s">
        <v>43</v>
      </c>
      <c r="L39" t="s">
        <v>27</v>
      </c>
      <c r="M39" t="str">
        <f t="shared" si="0"/>
        <v>Friday</v>
      </c>
    </row>
    <row r="40" spans="1:13" x14ac:dyDescent="0.25">
      <c r="A40" t="s">
        <v>199</v>
      </c>
      <c r="B40" t="s">
        <v>200</v>
      </c>
      <c r="C40" t="s">
        <v>75</v>
      </c>
      <c r="D40" t="str">
        <f>VLOOKUP(C40,'Restaurant Details'!$A$1:$D$11,MATCH($D$1,'Restaurant Details'!$A$1:$D$1,0),FALSE)</f>
        <v>Healthy Bites</v>
      </c>
      <c r="E40" t="str">
        <f>VLOOKUP(C40,'Restaurant Details'!$A$1:$D$11,MATCH($E$1,'Restaurant Details'!$A$1:$D$1,0),FALSE)</f>
        <v>Healthy Food</v>
      </c>
      <c r="F40" t="s">
        <v>40</v>
      </c>
      <c r="G40" t="s">
        <v>201</v>
      </c>
      <c r="H40" t="s">
        <v>202</v>
      </c>
      <c r="I40">
        <v>47</v>
      </c>
      <c r="J40">
        <v>35</v>
      </c>
      <c r="K40" t="s">
        <v>52</v>
      </c>
      <c r="L40" t="s">
        <v>19</v>
      </c>
      <c r="M40" t="str">
        <f t="shared" si="0"/>
        <v>Saturday</v>
      </c>
    </row>
    <row r="41" spans="1:13" x14ac:dyDescent="0.25">
      <c r="A41" t="s">
        <v>203</v>
      </c>
      <c r="B41" t="s">
        <v>204</v>
      </c>
      <c r="C41" t="s">
        <v>82</v>
      </c>
      <c r="D41" t="str">
        <f>VLOOKUP(C41,'Restaurant Details'!$A$1:$D$11,MATCH($D$1,'Restaurant Details'!$A$1:$D$1,0),FALSE)</f>
        <v>Royal Thali</v>
      </c>
      <c r="E41" t="str">
        <f>VLOOKUP(C41,'Restaurant Details'!$A$1:$D$11,MATCH($E$1,'Restaurant Details'!$A$1:$D$1,0),FALSE)</f>
        <v>Indian</v>
      </c>
      <c r="F41" t="s">
        <v>49</v>
      </c>
      <c r="G41" t="s">
        <v>205</v>
      </c>
      <c r="H41" t="s">
        <v>206</v>
      </c>
      <c r="I41">
        <v>53</v>
      </c>
      <c r="J41">
        <v>45</v>
      </c>
      <c r="K41" t="s">
        <v>59</v>
      </c>
      <c r="L41" t="s">
        <v>44</v>
      </c>
      <c r="M41" t="str">
        <f t="shared" si="0"/>
        <v>Sunday</v>
      </c>
    </row>
    <row r="42" spans="1:13" x14ac:dyDescent="0.25">
      <c r="A42" t="s">
        <v>207</v>
      </c>
      <c r="B42" t="s">
        <v>208</v>
      </c>
      <c r="C42" t="s">
        <v>13</v>
      </c>
      <c r="D42" t="str">
        <f>VLOOKUP(C42,'Restaurant Details'!$A$1:$D$11,MATCH($D$1,'Restaurant Details'!$A$1:$D$1,0),FALSE)</f>
        <v>Spice Hub</v>
      </c>
      <c r="E42" t="str">
        <f>VLOOKUP(C42,'Restaurant Details'!$A$1:$D$11,MATCH($E$1,'Restaurant Details'!$A$1:$D$1,0),FALSE)</f>
        <v>Indian</v>
      </c>
      <c r="F42" t="s">
        <v>15</v>
      </c>
      <c r="G42" t="s">
        <v>209</v>
      </c>
      <c r="H42" t="s">
        <v>210</v>
      </c>
      <c r="I42">
        <v>34</v>
      </c>
      <c r="J42">
        <v>30</v>
      </c>
      <c r="K42" t="s">
        <v>250</v>
      </c>
      <c r="L42" t="s">
        <v>19</v>
      </c>
      <c r="M42" t="str">
        <f t="shared" si="0"/>
        <v>Monday</v>
      </c>
    </row>
    <row r="43" spans="1:13" x14ac:dyDescent="0.25">
      <c r="A43" t="s">
        <v>211</v>
      </c>
      <c r="B43" t="s">
        <v>212</v>
      </c>
      <c r="C43" t="s">
        <v>22</v>
      </c>
      <c r="D43" t="str">
        <f>VLOOKUP(C43,'Restaurant Details'!$A$1:$D$11,MATCH($D$1,'Restaurant Details'!$A$1:$D$1,0),FALSE)</f>
        <v>Biryani House</v>
      </c>
      <c r="E43" t="str">
        <f>VLOOKUP(C43,'Restaurant Details'!$A$1:$D$11,MATCH($E$1,'Restaurant Details'!$A$1:$D$1,0),FALSE)</f>
        <v>Biryani</v>
      </c>
      <c r="F43" t="s">
        <v>24</v>
      </c>
      <c r="G43" t="s">
        <v>213</v>
      </c>
      <c r="H43" t="s">
        <v>214</v>
      </c>
      <c r="I43">
        <v>46</v>
      </c>
      <c r="J43">
        <v>40</v>
      </c>
      <c r="K43" t="s">
        <v>79</v>
      </c>
      <c r="L43" t="s">
        <v>27</v>
      </c>
      <c r="M43" t="str">
        <f t="shared" si="0"/>
        <v>Tuesday</v>
      </c>
    </row>
    <row r="44" spans="1:13" x14ac:dyDescent="0.25">
      <c r="A44" t="s">
        <v>215</v>
      </c>
      <c r="B44" t="s">
        <v>216</v>
      </c>
      <c r="C44" t="s">
        <v>30</v>
      </c>
      <c r="D44" t="str">
        <f>VLOOKUP(C44,'Restaurant Details'!$A$1:$D$11,MATCH($D$1,'Restaurant Details'!$A$1:$D$1,0),FALSE)</f>
        <v>Pizza Corner</v>
      </c>
      <c r="E44" t="str">
        <f>VLOOKUP(C44,'Restaurant Details'!$A$1:$D$11,MATCH($E$1,'Restaurant Details'!$A$1:$D$1,0),FALSE)</f>
        <v>Pizza</v>
      </c>
      <c r="F44" t="s">
        <v>32</v>
      </c>
      <c r="G44" t="s">
        <v>217</v>
      </c>
      <c r="H44" t="s">
        <v>218</v>
      </c>
      <c r="I44">
        <v>38</v>
      </c>
      <c r="J44">
        <v>25</v>
      </c>
      <c r="K44" t="s">
        <v>86</v>
      </c>
      <c r="L44" t="s">
        <v>19</v>
      </c>
      <c r="M44" t="str">
        <f t="shared" si="0"/>
        <v>Wednesday</v>
      </c>
    </row>
    <row r="45" spans="1:13" x14ac:dyDescent="0.25">
      <c r="A45" t="s">
        <v>219</v>
      </c>
      <c r="B45" t="s">
        <v>220</v>
      </c>
      <c r="C45" t="s">
        <v>38</v>
      </c>
      <c r="D45" t="str">
        <f>VLOOKUP(C45,'Restaurant Details'!$A$1:$D$11,MATCH($D$1,'Restaurant Details'!$A$1:$D$1,0),FALSE)</f>
        <v>South Treat</v>
      </c>
      <c r="E45" t="str">
        <f>VLOOKUP(C45,'Restaurant Details'!$A$1:$D$11,MATCH($E$1,'Restaurant Details'!$A$1:$D$1,0),FALSE)</f>
        <v>South Indian</v>
      </c>
      <c r="F45" t="s">
        <v>40</v>
      </c>
      <c r="G45" t="s">
        <v>221</v>
      </c>
      <c r="H45" t="s">
        <v>222</v>
      </c>
      <c r="I45">
        <v>43</v>
      </c>
      <c r="J45">
        <v>35</v>
      </c>
      <c r="K45" t="s">
        <v>35</v>
      </c>
      <c r="L45" t="s">
        <v>44</v>
      </c>
      <c r="M45" t="str">
        <f t="shared" si="0"/>
        <v>Thursday</v>
      </c>
    </row>
    <row r="46" spans="1:13" x14ac:dyDescent="0.25">
      <c r="A46" t="s">
        <v>223</v>
      </c>
      <c r="B46" t="s">
        <v>224</v>
      </c>
      <c r="C46" t="s">
        <v>47</v>
      </c>
      <c r="D46" t="str">
        <f>VLOOKUP(C46,'Restaurant Details'!$A$1:$D$11,MATCH($D$1,'Restaurant Details'!$A$1:$D$1,0),FALSE)</f>
        <v>Tandoori Tales</v>
      </c>
      <c r="E46" t="str">
        <f>VLOOKUP(C46,'Restaurant Details'!$A$1:$D$11,MATCH($E$1,'Restaurant Details'!$A$1:$D$1,0),FALSE)</f>
        <v>North Indian</v>
      </c>
      <c r="F46" t="s">
        <v>49</v>
      </c>
      <c r="G46" t="s">
        <v>225</v>
      </c>
      <c r="H46" t="s">
        <v>226</v>
      </c>
      <c r="I46">
        <v>36</v>
      </c>
      <c r="J46">
        <v>30</v>
      </c>
      <c r="K46" t="s">
        <v>43</v>
      </c>
      <c r="L46" t="s">
        <v>19</v>
      </c>
      <c r="M46" t="str">
        <f t="shared" si="0"/>
        <v>Friday</v>
      </c>
    </row>
    <row r="47" spans="1:13" x14ac:dyDescent="0.25">
      <c r="A47" t="s">
        <v>227</v>
      </c>
      <c r="B47" t="s">
        <v>228</v>
      </c>
      <c r="C47" t="s">
        <v>55</v>
      </c>
      <c r="D47" t="str">
        <f>VLOOKUP(C47,'Restaurant Details'!$A$1:$D$11,MATCH($D$1,'Restaurant Details'!$A$1:$D$1,0),FALSE)</f>
        <v>Burger Point</v>
      </c>
      <c r="E47" t="str">
        <f>VLOOKUP(C47,'Restaurant Details'!$A$1:$D$11,MATCH($E$1,'Restaurant Details'!$A$1:$D$1,0),FALSE)</f>
        <v>Fast Food</v>
      </c>
      <c r="F47" t="s">
        <v>15</v>
      </c>
      <c r="G47" t="s">
        <v>229</v>
      </c>
      <c r="H47" t="s">
        <v>230</v>
      </c>
      <c r="I47">
        <v>29</v>
      </c>
      <c r="J47">
        <v>20</v>
      </c>
      <c r="K47" t="s">
        <v>52</v>
      </c>
      <c r="L47" t="s">
        <v>27</v>
      </c>
      <c r="M47" t="str">
        <f t="shared" si="0"/>
        <v>Saturday</v>
      </c>
    </row>
    <row r="48" spans="1:13" x14ac:dyDescent="0.25">
      <c r="A48" t="s">
        <v>231</v>
      </c>
      <c r="B48" t="s">
        <v>232</v>
      </c>
      <c r="C48" t="s">
        <v>62</v>
      </c>
      <c r="D48" t="str">
        <f>VLOOKUP(C48,'Restaurant Details'!$A$1:$D$11,MATCH($D$1,'Restaurant Details'!$A$1:$D$1,0),FALSE)</f>
        <v>Chaat Junction</v>
      </c>
      <c r="E48" t="str">
        <f>VLOOKUP(C48,'Restaurant Details'!$A$1:$D$11,MATCH($E$1,'Restaurant Details'!$A$1:$D$1,0),FALSE)</f>
        <v>Street Food</v>
      </c>
      <c r="F48" t="s">
        <v>24</v>
      </c>
      <c r="G48" t="s">
        <v>233</v>
      </c>
      <c r="H48" t="s">
        <v>234</v>
      </c>
      <c r="I48">
        <v>41</v>
      </c>
      <c r="J48">
        <v>25</v>
      </c>
      <c r="K48" t="s">
        <v>250</v>
      </c>
      <c r="L48" t="s">
        <v>19</v>
      </c>
      <c r="M48" t="str">
        <f t="shared" si="0"/>
        <v>Sunday</v>
      </c>
    </row>
    <row r="49" spans="1:13" x14ac:dyDescent="0.25">
      <c r="A49" t="s">
        <v>235</v>
      </c>
      <c r="B49" t="s">
        <v>236</v>
      </c>
      <c r="C49" t="s">
        <v>68</v>
      </c>
      <c r="D49" t="str">
        <f>VLOOKUP(C49,'Restaurant Details'!$A$1:$D$11,MATCH($D$1,'Restaurant Details'!$A$1:$D$1,0),FALSE)</f>
        <v>Cafe Aroma</v>
      </c>
      <c r="E49" t="str">
        <f>VLOOKUP(C49,'Restaurant Details'!$A$1:$D$11,MATCH($E$1,'Restaurant Details'!$A$1:$D$1,0),FALSE)</f>
        <v>Cafe</v>
      </c>
      <c r="F49" t="s">
        <v>32</v>
      </c>
      <c r="G49" t="s">
        <v>237</v>
      </c>
      <c r="H49" t="s">
        <v>238</v>
      </c>
      <c r="I49">
        <v>32</v>
      </c>
      <c r="J49">
        <v>30</v>
      </c>
      <c r="K49" t="s">
        <v>59</v>
      </c>
      <c r="L49" t="s">
        <v>27</v>
      </c>
      <c r="M49" t="str">
        <f t="shared" si="0"/>
        <v>Monday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6C86-859D-42A5-AA0D-CCAAD9E102F4}">
  <dimension ref="A3:C9"/>
  <sheetViews>
    <sheetView tabSelected="1" workbookViewId="0">
      <selection activeCell="K21" sqref="K21"/>
    </sheetView>
  </sheetViews>
  <sheetFormatPr defaultRowHeight="14.3" x14ac:dyDescent="0.25"/>
  <cols>
    <col min="1" max="1" width="13.28515625" bestFit="1" customWidth="1"/>
    <col min="2" max="2" width="22" bestFit="1" customWidth="1"/>
    <col min="3" max="3" width="16.5703125" bestFit="1" customWidth="1"/>
  </cols>
  <sheetData>
    <row r="3" spans="1:3" x14ac:dyDescent="0.25">
      <c r="A3" s="3" t="s">
        <v>252</v>
      </c>
      <c r="B3" t="s">
        <v>254</v>
      </c>
      <c r="C3" t="s">
        <v>255</v>
      </c>
    </row>
    <row r="4" spans="1:3" x14ac:dyDescent="0.25">
      <c r="A4" s="4" t="s">
        <v>49</v>
      </c>
      <c r="B4" s="7">
        <v>330</v>
      </c>
      <c r="C4" s="5">
        <v>9</v>
      </c>
    </row>
    <row r="5" spans="1:3" x14ac:dyDescent="0.25">
      <c r="A5" s="4" t="s">
        <v>40</v>
      </c>
      <c r="B5" s="7">
        <v>320</v>
      </c>
      <c r="C5" s="5">
        <v>9</v>
      </c>
    </row>
    <row r="6" spans="1:3" x14ac:dyDescent="0.25">
      <c r="A6" s="4" t="s">
        <v>24</v>
      </c>
      <c r="B6" s="7">
        <v>320</v>
      </c>
      <c r="C6" s="5">
        <v>10</v>
      </c>
    </row>
    <row r="7" spans="1:3" x14ac:dyDescent="0.25">
      <c r="A7" s="4" t="s">
        <v>15</v>
      </c>
      <c r="B7" s="7">
        <v>250</v>
      </c>
      <c r="C7" s="5">
        <v>10</v>
      </c>
    </row>
    <row r="8" spans="1:3" x14ac:dyDescent="0.25">
      <c r="A8" s="4" t="s">
        <v>32</v>
      </c>
      <c r="B8" s="7">
        <v>275</v>
      </c>
      <c r="C8" s="5">
        <v>10</v>
      </c>
    </row>
    <row r="9" spans="1:3" x14ac:dyDescent="0.25">
      <c r="A9" s="4" t="s">
        <v>253</v>
      </c>
      <c r="B9" s="7">
        <v>1495</v>
      </c>
      <c r="C9" s="5">
        <v>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12115-B119-427D-BFE2-6BD7E4782850}">
  <dimension ref="A3:P18"/>
  <sheetViews>
    <sheetView topLeftCell="A3" zoomScale="99" workbookViewId="0">
      <selection activeCell="D20" sqref="D20"/>
    </sheetView>
  </sheetViews>
  <sheetFormatPr defaultRowHeight="14.3" x14ac:dyDescent="0.25"/>
  <cols>
    <col min="1" max="1" width="14.140625" bestFit="1" customWidth="1"/>
    <col min="2" max="2" width="16.7109375" bestFit="1" customWidth="1"/>
    <col min="4" max="4" width="16.42578125" bestFit="1" customWidth="1"/>
    <col min="5" max="5" width="16.5703125" bestFit="1" customWidth="1"/>
  </cols>
  <sheetData>
    <row r="3" spans="1:16" s="8" customFormat="1" ht="42.8" x14ac:dyDescent="0.25">
      <c r="A3" s="8" t="s">
        <v>255</v>
      </c>
      <c r="B3" s="8" t="s">
        <v>256</v>
      </c>
      <c r="H3" s="10" t="s">
        <v>258</v>
      </c>
      <c r="I3" s="10"/>
      <c r="J3" s="10"/>
      <c r="K3" s="10"/>
      <c r="L3" s="10"/>
      <c r="M3" s="10"/>
      <c r="N3" s="10"/>
      <c r="O3" s="10"/>
      <c r="P3" s="10"/>
    </row>
    <row r="4" spans="1:16" x14ac:dyDescent="0.25">
      <c r="A4" s="5">
        <v>48</v>
      </c>
      <c r="B4" s="9">
        <v>39.541666666666664</v>
      </c>
    </row>
    <row r="5" spans="1:16" ht="18.55" x14ac:dyDescent="0.3">
      <c r="H5" s="11" t="s">
        <v>259</v>
      </c>
      <c r="I5" s="11"/>
      <c r="J5" s="11"/>
      <c r="K5" s="11"/>
      <c r="M5" s="11" t="s">
        <v>260</v>
      </c>
      <c r="N5" s="11"/>
      <c r="O5" s="11"/>
      <c r="P5" s="11"/>
    </row>
    <row r="6" spans="1:16" ht="16.399999999999999" x14ac:dyDescent="0.3">
      <c r="H6" s="12">
        <f>GETPIVOTDATA("Count of Order ID",$A$3)</f>
        <v>48</v>
      </c>
      <c r="I6" s="12"/>
      <c r="J6" s="12"/>
      <c r="K6" s="12"/>
      <c r="M6" s="13">
        <f>GETPIVOTDATA("Average of Delivery Time (min)",$A$3)</f>
        <v>39.541666666666664</v>
      </c>
      <c r="N6" s="13"/>
      <c r="O6" s="13"/>
      <c r="P6" s="13"/>
    </row>
    <row r="7" spans="1:16" x14ac:dyDescent="0.25">
      <c r="A7" s="3" t="s">
        <v>252</v>
      </c>
      <c r="B7" t="s">
        <v>255</v>
      </c>
      <c r="D7" s="6" t="s">
        <v>3</v>
      </c>
      <c r="E7" s="6" t="s">
        <v>257</v>
      </c>
    </row>
    <row r="8" spans="1:16" x14ac:dyDescent="0.25">
      <c r="A8" s="4" t="s">
        <v>23</v>
      </c>
      <c r="B8" s="5">
        <v>4</v>
      </c>
      <c r="D8" t="str" cm="1">
        <f t="array" ref="D8:E10">INDEX(_xlfn._xlws.SORT(A8:B17,2,-1),_xlfn.SEQUENCE(3),{1,2})</f>
        <v>South Treat</v>
      </c>
      <c r="E8">
        <v>8</v>
      </c>
    </row>
    <row r="9" spans="1:16" x14ac:dyDescent="0.25">
      <c r="A9" s="4" t="s">
        <v>56</v>
      </c>
      <c r="B9" s="5">
        <v>3</v>
      </c>
      <c r="D9" t="str">
        <v>Healthy Bites</v>
      </c>
      <c r="E9">
        <v>7</v>
      </c>
    </row>
    <row r="10" spans="1:16" x14ac:dyDescent="0.25">
      <c r="A10" s="4" t="s">
        <v>69</v>
      </c>
      <c r="B10" s="5">
        <v>5</v>
      </c>
      <c r="D10" t="str">
        <v>Royal Thali</v>
      </c>
      <c r="E10">
        <v>6</v>
      </c>
    </row>
    <row r="11" spans="1:16" x14ac:dyDescent="0.25">
      <c r="A11" s="4" t="s">
        <v>63</v>
      </c>
      <c r="B11" s="5">
        <v>4</v>
      </c>
    </row>
    <row r="12" spans="1:16" x14ac:dyDescent="0.25">
      <c r="A12" s="4" t="s">
        <v>76</v>
      </c>
      <c r="B12" s="5">
        <v>7</v>
      </c>
    </row>
    <row r="13" spans="1:16" x14ac:dyDescent="0.25">
      <c r="A13" s="4" t="s">
        <v>31</v>
      </c>
      <c r="B13" s="5">
        <v>4</v>
      </c>
    </row>
    <row r="14" spans="1:16" x14ac:dyDescent="0.25">
      <c r="A14" s="4" t="s">
        <v>83</v>
      </c>
      <c r="B14" s="5">
        <v>6</v>
      </c>
    </row>
    <row r="15" spans="1:16" x14ac:dyDescent="0.25">
      <c r="A15" s="4" t="s">
        <v>39</v>
      </c>
      <c r="B15" s="5">
        <v>8</v>
      </c>
    </row>
    <row r="16" spans="1:16" x14ac:dyDescent="0.25">
      <c r="A16" s="4" t="s">
        <v>14</v>
      </c>
      <c r="B16" s="5">
        <v>4</v>
      </c>
    </row>
    <row r="17" spans="1:2" x14ac:dyDescent="0.25">
      <c r="A17" s="4" t="s">
        <v>48</v>
      </c>
      <c r="B17" s="5">
        <v>3</v>
      </c>
    </row>
    <row r="18" spans="1:2" x14ac:dyDescent="0.25">
      <c r="A18" s="4" t="s">
        <v>253</v>
      </c>
      <c r="B18" s="5">
        <v>48</v>
      </c>
    </row>
  </sheetData>
  <mergeCells count="5">
    <mergeCell ref="H3:P3"/>
    <mergeCell ref="M5:P5"/>
    <mergeCell ref="H5:K5"/>
    <mergeCell ref="H6:K6"/>
    <mergeCell ref="M6:P6"/>
  </mergeCells>
  <conditionalFormatting sqref="A8:A17">
    <cfRule type="top10" dxfId="3" priority="1" rank="3"/>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Orders</vt:lpstr>
      <vt:lpstr>Restaurant Details</vt:lpstr>
      <vt:lpstr>Tasks - 1,2,3</vt:lpstr>
      <vt:lpstr>Task 4</vt:lpstr>
      <vt:lpstr>Task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dilip pawar</cp:lastModifiedBy>
  <dcterms:created xsi:type="dcterms:W3CDTF">2026-10-02T08:57:14Z</dcterms:created>
  <dcterms:modified xsi:type="dcterms:W3CDTF">2026-10-02T09:51:53Z</dcterms:modified>
</cp:coreProperties>
</file>